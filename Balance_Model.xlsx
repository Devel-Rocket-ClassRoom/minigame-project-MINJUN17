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모델" sheetId="1" state="visible" r:id="rId3"/>
    <sheet name="메뉴" sheetId="2" state="visible" r:id="rId4"/>
    <sheet name="손님" sheetId="3" state="visible" r:id="rId5"/>
    <sheet name="직원" sheetId="4" state="visible" r:id="rId6"/>
    <sheet name="가구" sheetId="5" state="visible" r:id="rId7"/>
    <sheet name="맵확장" sheetId="6" state="visible" r:id="rId8"/>
    <sheet name="마케팅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<sst xmlns="http://schemas.openxmlformats.org/spreadsheetml/2006/main" count="207" uniqueCount="157">
  <si>
    <t xml:space="preserve">💰 하루 순이익 모델</t>
  </si>
  <si>
    <r>
      <rPr>
        <i val="true"/>
        <sz val="9"/>
        <color rgb="FF808080"/>
        <rFont val="Noto Sans KR"/>
        <family val="2"/>
        <charset val="129"/>
      </rPr>
      <t xml:space="preserve">노랑칸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KR"/>
        <family val="2"/>
        <charset val="129"/>
      </rPr>
      <t xml:space="preserve">파란글씨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Noto Sans KR"/>
        <family val="2"/>
        <charset val="129"/>
      </rPr>
      <t xml:space="preserve">만 바꾸면 전부 자동 계산됩니다</t>
    </r>
  </si>
  <si>
    <r>
      <rPr>
        <b val="true"/>
        <sz val="11"/>
        <color rgb="FFFFFFFF"/>
        <rFont val="Noto Sans KR"/>
        <family val="2"/>
        <charset val="129"/>
      </rPr>
      <t xml:space="preserve">입력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KR"/>
        <family val="2"/>
        <charset val="129"/>
      </rPr>
      <t xml:space="preserve">가정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</si>
  <si>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1"/>
        <rFont val="Noto Sans KR"/>
        <family val="2"/>
        <charset val="129"/>
      </rPr>
      <t xml:space="preserve">영업시간 </t>
    </r>
    <r>
      <rPr>
        <sz val="11"/>
        <rFont val="Arial"/>
        <family val="0"/>
        <charset val="1"/>
      </rPr>
      <t xml:space="preserve">(</t>
    </r>
    <r>
      <rPr>
        <sz val="11"/>
        <rFont val="Noto Sans KR"/>
        <family val="2"/>
        <charset val="129"/>
      </rPr>
      <t xml:space="preserve">초</t>
    </r>
    <r>
      <rPr>
        <sz val="11"/>
        <rFont val="Arial"/>
        <family val="0"/>
        <charset val="1"/>
      </rPr>
      <t xml:space="preserve">/</t>
    </r>
    <r>
      <rPr>
        <sz val="11"/>
        <rFont val="Noto Sans KR"/>
        <family val="2"/>
        <charset val="129"/>
      </rPr>
      <t xml:space="preserve">일</t>
    </r>
    <r>
      <rPr>
        <sz val="11"/>
        <rFont val="Arial"/>
        <family val="0"/>
        <charset val="1"/>
      </rPr>
      <t xml:space="preserve">)</t>
    </r>
  </si>
  <si>
    <r>
      <rPr>
        <sz val="9"/>
        <color rgb="FF808080"/>
        <rFont val="Arial"/>
        <family val="0"/>
        <charset val="1"/>
      </rPr>
      <t xml:space="preserve">(24-8)</t>
    </r>
    <r>
      <rPr>
        <sz val="9"/>
        <color rgb="FF808080"/>
        <rFont val="Noto Sans KR"/>
        <family val="2"/>
        <charset val="129"/>
      </rPr>
      <t xml:space="preserve">시 </t>
    </r>
    <r>
      <rPr>
        <sz val="9"/>
        <color rgb="FF808080"/>
        <rFont val="Arial"/>
        <family val="0"/>
        <charset val="1"/>
      </rPr>
      <t xml:space="preserve">× 15</t>
    </r>
    <r>
      <rPr>
        <sz val="9"/>
        <color rgb="FF808080"/>
        <rFont val="Noto Sans KR"/>
        <family val="2"/>
        <charset val="129"/>
      </rPr>
      <t xml:space="preserve">초</t>
    </r>
    <r>
      <rPr>
        <sz val="9"/>
        <color rgb="FF808080"/>
        <rFont val="Arial"/>
        <family val="0"/>
        <charset val="1"/>
      </rPr>
      <t xml:space="preserve">/</t>
    </r>
    <r>
      <rPr>
        <sz val="9"/>
        <color rgb="FF808080"/>
        <rFont val="Noto Sans KR"/>
        <family val="2"/>
        <charset val="129"/>
      </rPr>
      <t xml:space="preserve">시간</t>
    </r>
  </si>
  <si>
    <r>
      <rPr>
        <sz val="11"/>
        <rFont val="Noto Sans KR"/>
        <family val="2"/>
        <charset val="129"/>
      </rPr>
      <t xml:space="preserve">평균 스폰간격 </t>
    </r>
    <r>
      <rPr>
        <sz val="11"/>
        <rFont val="Arial"/>
        <family val="0"/>
        <charset val="1"/>
      </rPr>
      <t xml:space="preserve">(</t>
    </r>
    <r>
      <rPr>
        <sz val="11"/>
        <rFont val="Noto Sans KR"/>
        <family val="2"/>
        <charset val="129"/>
      </rPr>
      <t xml:space="preserve">초</t>
    </r>
    <r>
      <rPr>
        <sz val="11"/>
        <rFont val="Arial"/>
        <family val="0"/>
        <charset val="1"/>
      </rPr>
      <t xml:space="preserve">)</t>
    </r>
  </si>
  <si>
    <t xml:space="preserve">(min10+max30)/2</t>
  </si>
  <si>
    <t xml:space="preserve">마케팅 배수</t>
  </si>
  <si>
    <r>
      <rPr>
        <sz val="9"/>
        <color rgb="FF808080"/>
        <rFont val="Noto Sans KR"/>
        <family val="2"/>
        <charset val="129"/>
      </rPr>
      <t xml:space="preserve">마케팅 </t>
    </r>
    <r>
      <rPr>
        <sz val="9"/>
        <color rgb="FF808080"/>
        <rFont val="Arial"/>
        <family val="0"/>
        <charset val="1"/>
      </rPr>
      <t xml:space="preserve">0</t>
    </r>
    <r>
      <rPr>
        <sz val="9"/>
        <color rgb="FF808080"/>
        <rFont val="Noto Sans KR"/>
        <family val="2"/>
        <charset val="129"/>
      </rPr>
      <t xml:space="preserve">개</t>
    </r>
    <r>
      <rPr>
        <sz val="9"/>
        <color rgb="FF808080"/>
        <rFont val="Arial"/>
        <family val="0"/>
        <charset val="1"/>
      </rPr>
      <t xml:space="preserve">=1.0, 3</t>
    </r>
    <r>
      <rPr>
        <sz val="9"/>
        <color rgb="FF808080"/>
        <rFont val="Noto Sans KR"/>
        <family val="2"/>
        <charset val="129"/>
      </rPr>
      <t xml:space="preserve">개</t>
    </r>
    <r>
      <rPr>
        <sz val="9"/>
        <color rgb="FF808080"/>
        <rFont val="Arial"/>
        <family val="0"/>
        <charset val="1"/>
      </rPr>
      <t xml:space="preserve">=</t>
    </r>
    <r>
      <rPr>
        <sz val="9"/>
        <color rgb="FF808080"/>
        <rFont val="Noto Sans KR"/>
        <family val="2"/>
        <charset val="129"/>
      </rPr>
      <t xml:space="preserve">약</t>
    </r>
    <r>
      <rPr>
        <sz val="9"/>
        <color rgb="FF808080"/>
        <rFont val="Arial"/>
        <family val="0"/>
        <charset val="1"/>
      </rPr>
      <t xml:space="preserve">2.03</t>
    </r>
  </si>
  <si>
    <t xml:space="preserve">좌석 수</t>
  </si>
  <si>
    <t xml:space="preserve">동시 수용 손님 수</t>
  </si>
  <si>
    <r>
      <rPr>
        <sz val="11"/>
        <rFont val="Noto Sans KR"/>
        <family val="2"/>
        <charset val="129"/>
      </rPr>
      <t xml:space="preserve">손님 </t>
    </r>
    <r>
      <rPr>
        <sz val="11"/>
        <rFont val="Arial"/>
        <family val="0"/>
        <charset val="1"/>
      </rPr>
      <t xml:space="preserve">1</t>
    </r>
    <r>
      <rPr>
        <sz val="11"/>
        <rFont val="Noto Sans KR"/>
        <family val="2"/>
        <charset val="129"/>
      </rPr>
      <t xml:space="preserve">명 평균 점유시간 </t>
    </r>
    <r>
      <rPr>
        <sz val="11"/>
        <rFont val="Arial"/>
        <family val="0"/>
        <charset val="1"/>
      </rPr>
      <t xml:space="preserve">(</t>
    </r>
    <r>
      <rPr>
        <sz val="11"/>
        <rFont val="Noto Sans KR"/>
        <family val="2"/>
        <charset val="129"/>
      </rPr>
      <t xml:space="preserve">초</t>
    </r>
    <r>
      <rPr>
        <sz val="11"/>
        <rFont val="Arial"/>
        <family val="0"/>
        <charset val="1"/>
      </rPr>
      <t xml:space="preserve">)</t>
    </r>
  </si>
  <si>
    <r>
      <rPr>
        <sz val="9"/>
        <color rgb="FF808080"/>
        <rFont val="Noto Sans KR"/>
        <family val="2"/>
        <charset val="129"/>
      </rPr>
      <t xml:space="preserve">주문</t>
    </r>
    <r>
      <rPr>
        <sz val="9"/>
        <color rgb="FF808080"/>
        <rFont val="Arial"/>
        <family val="0"/>
        <charset val="1"/>
      </rPr>
      <t xml:space="preserve">+</t>
    </r>
    <r>
      <rPr>
        <sz val="9"/>
        <color rgb="FF808080"/>
        <rFont val="Noto Sans KR"/>
        <family val="2"/>
        <charset val="129"/>
      </rPr>
      <t xml:space="preserve">조리</t>
    </r>
    <r>
      <rPr>
        <sz val="9"/>
        <color rgb="FF808080"/>
        <rFont val="Arial"/>
        <family val="0"/>
        <charset val="1"/>
      </rPr>
      <t xml:space="preserve">+</t>
    </r>
    <r>
      <rPr>
        <sz val="9"/>
        <color rgb="FF808080"/>
        <rFont val="Noto Sans KR"/>
        <family val="2"/>
        <charset val="129"/>
      </rPr>
      <t xml:space="preserve">식사</t>
    </r>
    <r>
      <rPr>
        <sz val="9"/>
        <color rgb="FF808080"/>
        <rFont val="Arial"/>
        <family val="0"/>
        <charset val="1"/>
      </rPr>
      <t xml:space="preserve">+</t>
    </r>
    <r>
      <rPr>
        <sz val="9"/>
        <color rgb="FF808080"/>
        <rFont val="Noto Sans KR"/>
        <family val="2"/>
        <charset val="129"/>
      </rPr>
      <t xml:space="preserve">퇴장</t>
    </r>
  </si>
  <si>
    <r>
      <rPr>
        <sz val="11"/>
        <rFont val="Noto Sans KR"/>
        <family val="2"/>
        <charset val="129"/>
      </rPr>
      <t xml:space="preserve">하루 인건비 합계 </t>
    </r>
    <r>
      <rPr>
        <sz val="11"/>
        <rFont val="Arial"/>
        <family val="0"/>
        <charset val="1"/>
      </rPr>
      <t xml:space="preserve">(₩)</t>
    </r>
  </si>
  <si>
    <r>
      <rPr>
        <sz val="9"/>
        <color rgb="FF808080"/>
        <rFont val="Noto Sans KR"/>
        <family val="2"/>
        <charset val="129"/>
      </rPr>
      <t xml:space="preserve">고용 직원 월급 합 </t>
    </r>
    <r>
      <rPr>
        <sz val="9"/>
        <color rgb="FF808080"/>
        <rFont val="Arial"/>
        <family val="0"/>
        <charset val="1"/>
      </rPr>
      <t xml:space="preserve">(1</t>
    </r>
    <r>
      <rPr>
        <sz val="9"/>
        <color rgb="FF808080"/>
        <rFont val="Noto Sans KR"/>
        <family val="2"/>
        <charset val="129"/>
      </rPr>
      <t xml:space="preserve">달</t>
    </r>
    <r>
      <rPr>
        <sz val="9"/>
        <color rgb="FF808080"/>
        <rFont val="Arial"/>
        <family val="0"/>
        <charset val="1"/>
      </rPr>
      <t xml:space="preserve">=1</t>
    </r>
    <r>
      <rPr>
        <sz val="9"/>
        <color rgb="FF808080"/>
        <rFont val="Noto Sans KR"/>
        <family val="2"/>
        <charset val="129"/>
      </rPr>
      <t xml:space="preserve">일</t>
    </r>
    <r>
      <rPr>
        <sz val="9"/>
        <color rgb="FF808080"/>
        <rFont val="Arial"/>
        <family val="0"/>
        <charset val="1"/>
      </rPr>
      <t xml:space="preserve">)</t>
    </r>
  </si>
  <si>
    <t xml:space="preserve">계산</t>
  </si>
  <si>
    <r>
      <rPr>
        <sz val="11"/>
        <rFont val="Noto Sans KR"/>
        <family val="2"/>
        <charset val="129"/>
      </rPr>
      <t xml:space="preserve">유효 스폰간격 </t>
    </r>
    <r>
      <rPr>
        <sz val="11"/>
        <rFont val="Arial"/>
        <family val="0"/>
        <charset val="1"/>
      </rPr>
      <t xml:space="preserve">(</t>
    </r>
    <r>
      <rPr>
        <sz val="11"/>
        <rFont val="Noto Sans KR"/>
        <family val="2"/>
        <charset val="129"/>
      </rPr>
      <t xml:space="preserve">초</t>
    </r>
    <r>
      <rPr>
        <sz val="11"/>
        <rFont val="Arial"/>
        <family val="0"/>
        <charset val="1"/>
      </rPr>
      <t xml:space="preserve">)</t>
    </r>
  </si>
  <si>
    <r>
      <rPr>
        <sz val="9"/>
        <color rgb="FF808080"/>
        <rFont val="Noto Sans KR"/>
        <family val="2"/>
        <charset val="129"/>
      </rPr>
      <t xml:space="preserve">스폰간격 </t>
    </r>
    <r>
      <rPr>
        <sz val="9"/>
        <color rgb="FF808080"/>
        <rFont val="Arial"/>
        <family val="0"/>
        <charset val="1"/>
      </rPr>
      <t xml:space="preserve">÷ </t>
    </r>
    <r>
      <rPr>
        <sz val="9"/>
        <color rgb="FF808080"/>
        <rFont val="Noto Sans KR"/>
        <family val="2"/>
        <charset val="129"/>
      </rPr>
      <t xml:space="preserve">마케팅배수</t>
    </r>
  </si>
  <si>
    <r>
      <rPr>
        <sz val="11"/>
        <rFont val="Noto Sans KR"/>
        <family val="2"/>
        <charset val="129"/>
      </rPr>
      <t xml:space="preserve">이론상 손님</t>
    </r>
    <r>
      <rPr>
        <sz val="11"/>
        <rFont val="Arial"/>
        <family val="0"/>
        <charset val="1"/>
      </rPr>
      <t xml:space="preserve">/</t>
    </r>
    <r>
      <rPr>
        <sz val="11"/>
        <rFont val="Noto Sans KR"/>
        <family val="2"/>
        <charset val="129"/>
      </rPr>
      <t xml:space="preserve">일</t>
    </r>
  </si>
  <si>
    <t xml:space="preserve">좌석 무제한 가정</t>
  </si>
  <si>
    <r>
      <rPr>
        <sz val="11"/>
        <rFont val="Noto Sans KR"/>
        <family val="2"/>
        <charset val="129"/>
      </rPr>
      <t xml:space="preserve">처리한계 손님</t>
    </r>
    <r>
      <rPr>
        <sz val="11"/>
        <rFont val="Arial"/>
        <family val="0"/>
        <charset val="1"/>
      </rPr>
      <t xml:space="preserve">/</t>
    </r>
    <r>
      <rPr>
        <sz val="11"/>
        <rFont val="Noto Sans KR"/>
        <family val="2"/>
        <charset val="129"/>
      </rPr>
      <t xml:space="preserve">일</t>
    </r>
  </si>
  <si>
    <r>
      <rPr>
        <sz val="9"/>
        <color rgb="FF808080"/>
        <rFont val="Noto Sans KR"/>
        <family val="2"/>
        <charset val="129"/>
      </rPr>
      <t xml:space="preserve">좌석</t>
    </r>
    <r>
      <rPr>
        <sz val="9"/>
        <color rgb="FF808080"/>
        <rFont val="Arial"/>
        <family val="0"/>
        <charset val="1"/>
      </rPr>
      <t xml:space="preserve">×</t>
    </r>
    <r>
      <rPr>
        <sz val="9"/>
        <color rgb="FF808080"/>
        <rFont val="Noto Sans KR"/>
        <family val="2"/>
        <charset val="129"/>
      </rPr>
      <t xml:space="preserve">영업시간 </t>
    </r>
    <r>
      <rPr>
        <sz val="9"/>
        <color rgb="FF808080"/>
        <rFont val="Arial"/>
        <family val="0"/>
        <charset val="1"/>
      </rPr>
      <t xml:space="preserve">÷ </t>
    </r>
    <r>
      <rPr>
        <sz val="9"/>
        <color rgb="FF808080"/>
        <rFont val="Noto Sans KR"/>
        <family val="2"/>
        <charset val="129"/>
      </rPr>
      <t xml:space="preserve">점유시간</t>
    </r>
  </si>
  <si>
    <r>
      <rPr>
        <b val="true"/>
        <sz val="11"/>
        <rFont val="Noto Sans KR"/>
        <family val="2"/>
        <charset val="129"/>
      </rPr>
      <t xml:space="preserve">실제 손님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Noto Sans KR"/>
        <family val="2"/>
        <charset val="129"/>
      </rPr>
      <t xml:space="preserve">일</t>
    </r>
  </si>
  <si>
    <r>
      <rPr>
        <sz val="9"/>
        <color rgb="FF808080"/>
        <rFont val="Noto Sans KR"/>
        <family val="2"/>
        <charset val="129"/>
      </rPr>
      <t xml:space="preserve">둘 중 작은 값</t>
    </r>
    <r>
      <rPr>
        <sz val="9"/>
        <color rgb="FF808080"/>
        <rFont val="Arial"/>
        <family val="0"/>
        <charset val="1"/>
      </rPr>
      <t xml:space="preserve">(</t>
    </r>
    <r>
      <rPr>
        <sz val="9"/>
        <color rgb="FF808080"/>
        <rFont val="Noto Sans KR"/>
        <family val="2"/>
        <charset val="129"/>
      </rPr>
      <t xml:space="preserve">병목</t>
    </r>
    <r>
      <rPr>
        <sz val="9"/>
        <color rgb="FF808080"/>
        <rFont val="Arial"/>
        <family val="0"/>
        <charset val="1"/>
      </rPr>
      <t xml:space="preserve">)</t>
    </r>
  </si>
  <si>
    <r>
      <rPr>
        <sz val="11"/>
        <rFont val="Noto Sans KR"/>
        <family val="2"/>
        <charset val="129"/>
      </rPr>
      <t xml:space="preserve">평균 지갑 </t>
    </r>
    <r>
      <rPr>
        <sz val="11"/>
        <rFont val="Arial"/>
        <family val="0"/>
        <charset val="1"/>
      </rPr>
      <t xml:space="preserve">(</t>
    </r>
    <r>
      <rPr>
        <sz val="11"/>
        <rFont val="Noto Sans KR"/>
        <family val="2"/>
        <charset val="129"/>
      </rPr>
      <t xml:space="preserve">매장</t>
    </r>
    <r>
      <rPr>
        <sz val="11"/>
        <rFont val="Arial"/>
        <family val="0"/>
        <charset val="1"/>
      </rPr>
      <t xml:space="preserve">)</t>
    </r>
  </si>
  <si>
    <t xml:space="preserve">← 손님 시트</t>
  </si>
  <si>
    <t xml:space="preserve">평균 마진율</t>
  </si>
  <si>
    <t xml:space="preserve">← 메뉴 시트</t>
  </si>
  <si>
    <r>
      <rPr>
        <sz val="11"/>
        <rFont val="Noto Sans KR"/>
        <family val="2"/>
        <charset val="129"/>
      </rPr>
      <t xml:space="preserve">손님당 순이익 </t>
    </r>
    <r>
      <rPr>
        <sz val="11"/>
        <rFont val="Arial"/>
        <family val="0"/>
        <charset val="1"/>
      </rPr>
      <t xml:space="preserve">(₩)</t>
    </r>
  </si>
  <si>
    <t xml:space="preserve">지갑 전액 결제 가정</t>
  </si>
  <si>
    <r>
      <rPr>
        <b val="true"/>
        <sz val="11"/>
        <rFont val="Noto Sans KR"/>
        <family val="2"/>
        <charset val="129"/>
      </rPr>
      <t xml:space="preserve">하루 총이익 </t>
    </r>
    <r>
      <rPr>
        <b val="true"/>
        <sz val="11"/>
        <rFont val="Arial"/>
        <family val="0"/>
        <charset val="1"/>
      </rPr>
      <t xml:space="preserve">(₩)</t>
    </r>
  </si>
  <si>
    <r>
      <rPr>
        <sz val="11"/>
        <rFont val="Noto Sans KR"/>
        <family val="2"/>
        <charset val="129"/>
      </rPr>
      <t xml:space="preserve">하루 인건비 </t>
    </r>
    <r>
      <rPr>
        <sz val="11"/>
        <rFont val="Arial"/>
        <family val="0"/>
        <charset val="1"/>
      </rPr>
      <t xml:space="preserve">(₩)</t>
    </r>
  </si>
  <si>
    <t xml:space="preserve">입력값</t>
  </si>
  <si>
    <r>
      <rPr>
        <b val="true"/>
        <sz val="11"/>
        <rFont val="Noto Sans KR"/>
        <family val="2"/>
        <charset val="129"/>
      </rPr>
      <t xml:space="preserve">하루 순이익 </t>
    </r>
    <r>
      <rPr>
        <b val="true"/>
        <sz val="11"/>
        <rFont val="Arial"/>
        <family val="0"/>
        <charset val="1"/>
      </rPr>
      <t xml:space="preserve">(₩)</t>
    </r>
  </si>
  <si>
    <t xml:space="preserve">성장 게이트까지 걸리는 일수</t>
  </si>
  <si>
    <r>
      <rPr>
        <sz val="11"/>
        <rFont val="Arial"/>
        <family val="0"/>
        <charset val="1"/>
      </rPr>
      <t xml:space="preserve">DT </t>
    </r>
    <r>
      <rPr>
        <sz val="11"/>
        <rFont val="Noto Sans KR"/>
        <family val="2"/>
        <charset val="129"/>
      </rPr>
      <t xml:space="preserve">해금</t>
    </r>
  </si>
  <si>
    <r>
      <rPr>
        <sz val="9"/>
        <color rgb="FF808080"/>
        <rFont val="Noto Sans KR"/>
        <family val="2"/>
        <charset val="129"/>
      </rPr>
      <t xml:space="preserve">비용 </t>
    </r>
    <r>
      <rPr>
        <sz val="9"/>
        <color rgb="FF808080"/>
        <rFont val="Arial"/>
        <family val="0"/>
        <charset val="1"/>
      </rPr>
      <t xml:space="preserve">÷ </t>
    </r>
    <r>
      <rPr>
        <sz val="9"/>
        <color rgb="FF808080"/>
        <rFont val="Noto Sans KR"/>
        <family val="2"/>
        <charset val="129"/>
      </rPr>
      <t xml:space="preserve">하루순이익</t>
    </r>
  </si>
  <si>
    <r>
      <rPr>
        <sz val="11"/>
        <rFont val="Arial"/>
        <family val="0"/>
        <charset val="1"/>
      </rPr>
      <t xml:space="preserve">2</t>
    </r>
    <r>
      <rPr>
        <sz val="11"/>
        <rFont val="Noto Sans KR"/>
        <family val="2"/>
        <charset val="129"/>
      </rPr>
      <t xml:space="preserve">층 해금</t>
    </r>
  </si>
  <si>
    <t xml:space="preserve">화장실 해금</t>
  </si>
  <si>
    <r>
      <rPr>
        <b val="true"/>
        <sz val="14"/>
        <color rgb="FF305496"/>
        <rFont val="Noto Sans KR"/>
        <family val="2"/>
        <charset val="129"/>
      </rPr>
      <t xml:space="preserve">메뉴 </t>
    </r>
    <r>
      <rPr>
        <b val="true"/>
        <sz val="14"/>
        <color rgb="FF305496"/>
        <rFont val="Arial"/>
        <family val="0"/>
        <charset val="1"/>
      </rPr>
      <t xml:space="preserve">(</t>
    </r>
    <r>
      <rPr>
        <b val="true"/>
        <sz val="14"/>
        <color rgb="FF305496"/>
        <rFont val="Noto Sans KR"/>
        <family val="2"/>
        <charset val="129"/>
      </rPr>
      <t xml:space="preserve">수익원</t>
    </r>
    <r>
      <rPr>
        <b val="true"/>
        <sz val="14"/>
        <color rgb="FF305496"/>
        <rFont val="Arial"/>
        <family val="0"/>
        <charset val="1"/>
      </rPr>
      <t xml:space="preserve">) — </t>
    </r>
    <r>
      <rPr>
        <b val="true"/>
        <sz val="14"/>
        <color rgb="FF305496"/>
        <rFont val="Noto Sans KR"/>
        <family val="2"/>
        <charset val="129"/>
      </rPr>
      <t xml:space="preserve">조리도구 매칭</t>
    </r>
  </si>
  <si>
    <r>
      <rPr>
        <i val="true"/>
        <sz val="9"/>
        <color rgb="FF808080"/>
        <rFont val="Noto Sans KR"/>
        <family val="2"/>
        <charset val="129"/>
      </rPr>
      <t xml:space="preserve">파랑</t>
    </r>
    <r>
      <rPr>
        <i val="true"/>
        <sz val="9"/>
        <color rgb="FF808080"/>
        <rFont val="Arial"/>
        <family val="0"/>
        <charset val="1"/>
      </rPr>
      <t xml:space="preserve">=</t>
    </r>
    <r>
      <rPr>
        <i val="true"/>
        <sz val="9"/>
        <color rgb="FF808080"/>
        <rFont val="Noto Sans KR"/>
        <family val="2"/>
        <charset val="129"/>
      </rPr>
      <t xml:space="preserve">입력 </t>
    </r>
    <r>
      <rPr>
        <i val="true"/>
        <sz val="9"/>
        <color rgb="FF808080"/>
        <rFont val="Arial"/>
        <family val="0"/>
        <charset val="1"/>
      </rPr>
      <t xml:space="preserve">/ </t>
    </r>
    <r>
      <rPr>
        <i val="true"/>
        <sz val="9"/>
        <color rgb="FF808080"/>
        <rFont val="Noto Sans KR"/>
        <family val="2"/>
        <charset val="129"/>
      </rPr>
      <t xml:space="preserve">회색</t>
    </r>
    <r>
      <rPr>
        <i val="true"/>
        <sz val="9"/>
        <color rgb="FF808080"/>
        <rFont val="Arial"/>
        <family val="0"/>
        <charset val="1"/>
      </rPr>
      <t xml:space="preserve">=</t>
    </r>
    <r>
      <rPr>
        <i val="true"/>
        <sz val="9"/>
        <color rgb="FF808080"/>
        <rFont val="Noto Sans KR"/>
        <family val="2"/>
        <charset val="129"/>
      </rPr>
      <t xml:space="preserve">자동계산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KR"/>
        <family val="2"/>
        <charset val="129"/>
      </rPr>
      <t xml:space="preserve">손대지 마세요</t>
    </r>
    <r>
      <rPr>
        <i val="true"/>
        <sz val="9"/>
        <color rgb="FF808080"/>
        <rFont val="Arial"/>
        <family val="0"/>
        <charset val="1"/>
      </rPr>
      <t xml:space="preserve">) / '</t>
    </r>
    <r>
      <rPr>
        <i val="true"/>
        <sz val="9"/>
        <color rgb="FF808080"/>
        <rFont val="Noto Sans KR"/>
        <family val="2"/>
        <charset val="129"/>
      </rPr>
      <t xml:space="preserve">조리도구</t>
    </r>
    <r>
      <rPr>
        <i val="true"/>
        <sz val="9"/>
        <color rgb="FF808080"/>
        <rFont val="Arial"/>
        <family val="0"/>
        <charset val="1"/>
      </rPr>
      <t xml:space="preserve">'</t>
    </r>
    <r>
      <rPr>
        <i val="true"/>
        <sz val="9"/>
        <color rgb="FF808080"/>
        <rFont val="Noto Sans KR"/>
        <family val="2"/>
        <charset val="129"/>
      </rPr>
      <t xml:space="preserve">는 드롭다운 선택</t>
    </r>
  </si>
  <si>
    <t xml:space="preserve">메뉴</t>
  </si>
  <si>
    <t xml:space="preserve">조리도구</t>
  </si>
  <si>
    <r>
      <rPr>
        <b val="true"/>
        <sz val="11"/>
        <color rgb="FFFFFFFF"/>
        <rFont val="Noto Sans KR"/>
        <family val="2"/>
        <charset val="129"/>
      </rPr>
      <t xml:space="preserve">가격</t>
    </r>
    <r>
      <rPr>
        <b val="true"/>
        <sz val="11"/>
        <color rgb="FFFFFFFF"/>
        <rFont val="Arial"/>
        <family val="0"/>
        <charset val="1"/>
      </rPr>
      <t xml:space="preserve">(₩)</t>
    </r>
  </si>
  <si>
    <r>
      <rPr>
        <b val="true"/>
        <sz val="11"/>
        <color rgb="FFFFFFFF"/>
        <rFont val="Noto Sans KR"/>
        <family val="2"/>
        <charset val="129"/>
      </rPr>
      <t xml:space="preserve">원가</t>
    </r>
    <r>
      <rPr>
        <b val="true"/>
        <sz val="11"/>
        <color rgb="FFFFFFFF"/>
        <rFont val="Arial"/>
        <family val="0"/>
        <charset val="1"/>
      </rPr>
      <t xml:space="preserve">(₩)</t>
    </r>
  </si>
  <si>
    <r>
      <rPr>
        <b val="true"/>
        <sz val="11"/>
        <color rgb="FFFFFFFF"/>
        <rFont val="Noto Sans KR"/>
        <family val="2"/>
        <charset val="129"/>
      </rPr>
      <t xml:space="preserve">마진</t>
    </r>
    <r>
      <rPr>
        <b val="true"/>
        <sz val="11"/>
        <color rgb="FFFFFFFF"/>
        <rFont val="Arial"/>
        <family val="0"/>
        <charset val="1"/>
      </rPr>
      <t xml:space="preserve">(₩)</t>
    </r>
  </si>
  <si>
    <t xml:space="preserve">마진율</t>
  </si>
  <si>
    <r>
      <rPr>
        <b val="true"/>
        <sz val="11"/>
        <color rgb="FFFFFFFF"/>
        <rFont val="Noto Sans KR"/>
        <family val="2"/>
        <charset val="129"/>
      </rPr>
      <t xml:space="preserve">수요</t>
    </r>
    <r>
      <rPr>
        <b val="true"/>
        <sz val="11"/>
        <color rgb="FFFFFFFF"/>
        <rFont val="Arial"/>
        <family val="0"/>
        <charset val="1"/>
      </rPr>
      <t xml:space="preserve">weight</t>
    </r>
  </si>
  <si>
    <r>
      <rPr>
        <b val="true"/>
        <sz val="11"/>
        <color rgb="FFFFFFFF"/>
        <rFont val="Noto Sans KR"/>
        <family val="2"/>
        <charset val="129"/>
      </rPr>
      <t xml:space="preserve">해금비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KR"/>
        <family val="2"/>
        <charset val="129"/>
      </rPr>
      <t xml:space="preserve">만족도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</si>
  <si>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Bacon</t>
  </si>
  <si>
    <t xml:space="preserve">Grill</t>
  </si>
  <si>
    <t xml:space="preserve">Bread</t>
  </si>
  <si>
    <t xml:space="preserve">BreadRack</t>
  </si>
  <si>
    <t xml:space="preserve">Burger</t>
  </si>
  <si>
    <t xml:space="preserve">Burrito</t>
  </si>
  <si>
    <t xml:space="preserve">Microwave</t>
  </si>
  <si>
    <t xml:space="preserve">CheeseCake</t>
  </si>
  <si>
    <t xml:space="preserve">ChocolateCake</t>
  </si>
  <si>
    <t xml:space="preserve">Cookies</t>
  </si>
  <si>
    <t xml:space="preserve">Curry</t>
  </si>
  <si>
    <t xml:space="preserve">Dumplings</t>
  </si>
  <si>
    <t xml:space="preserve">FrenchFries</t>
  </si>
  <si>
    <t xml:space="preserve">Fryer</t>
  </si>
  <si>
    <t xml:space="preserve">FriedEgg</t>
  </si>
  <si>
    <t xml:space="preserve">FruitCake</t>
  </si>
  <si>
    <t xml:space="preserve">GarlicBread</t>
  </si>
  <si>
    <t xml:space="preserve">HotDog</t>
  </si>
  <si>
    <t xml:space="preserve">IceCream</t>
  </si>
  <si>
    <t xml:space="preserve">IceCreamMachine</t>
  </si>
  <si>
    <t xml:space="preserve">MeatBall</t>
  </si>
  <si>
    <t xml:space="preserve">Omelet</t>
  </si>
  <si>
    <t xml:space="preserve">Pizza</t>
  </si>
  <si>
    <t xml:space="preserve">Pudding</t>
  </si>
  <si>
    <t xml:space="preserve">RoastedChicken</t>
  </si>
  <si>
    <t xml:space="preserve">Sandwich</t>
  </si>
  <si>
    <t xml:space="preserve">Sushi</t>
  </si>
  <si>
    <t xml:space="preserve">FishCuttingTable</t>
  </si>
  <si>
    <t xml:space="preserve">Taco</t>
  </si>
  <si>
    <t xml:space="preserve">Waffle</t>
  </si>
  <si>
    <t xml:space="preserve">eggTart</t>
  </si>
  <si>
    <t xml:space="preserve">평균</t>
  </si>
  <si>
    <t xml:space="preserve">ss</t>
  </si>
  <si>
    <t xml:space="preserve">손님</t>
  </si>
  <si>
    <r>
      <rPr>
        <b val="true"/>
        <sz val="11"/>
        <color rgb="FFFFFFFF"/>
        <rFont val="Noto Sans KR"/>
        <family val="2"/>
        <charset val="129"/>
      </rPr>
      <t xml:space="preserve">지갑</t>
    </r>
    <r>
      <rPr>
        <b val="true"/>
        <sz val="11"/>
        <color rgb="FFFFFFFF"/>
        <rFont val="Arial"/>
        <family val="0"/>
        <charset val="1"/>
      </rPr>
      <t xml:space="preserve">(₩)</t>
    </r>
  </si>
  <si>
    <t xml:space="preserve">시작만족</t>
  </si>
  <si>
    <r>
      <rPr>
        <b val="true"/>
        <sz val="11"/>
        <color rgb="FFFFFFFF"/>
        <rFont val="Noto Sans KR"/>
        <family val="2"/>
        <charset val="129"/>
      </rPr>
      <t xml:space="preserve">인내심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KR"/>
        <family val="2"/>
        <charset val="129"/>
      </rPr>
      <t xml:space="preserve">초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</si>
  <si>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KR"/>
        <family val="2"/>
        <charset val="129"/>
      </rPr>
      <t xml:space="preserve">식사</t>
    </r>
    <r>
      <rPr>
        <b val="true"/>
        <sz val="11"/>
        <color rgb="FFFFFFFF"/>
        <rFont val="Arial"/>
        <family val="0"/>
        <charset val="1"/>
      </rPr>
      <t xml:space="preserve">+/</t>
    </r>
    <r>
      <rPr>
        <b val="true"/>
        <sz val="11"/>
        <color rgb="FFFFFFFF"/>
        <rFont val="Noto Sans KR"/>
        <family val="2"/>
        <charset val="129"/>
      </rPr>
      <t xml:space="preserve">초</t>
    </r>
  </si>
  <si>
    <r>
      <rPr>
        <b val="true"/>
        <sz val="11"/>
        <color rgb="FFFFFFFF"/>
        <rFont val="Noto Sans KR"/>
        <family val="2"/>
        <charset val="129"/>
      </rPr>
      <t xml:space="preserve">대기</t>
    </r>
    <r>
      <rPr>
        <b val="true"/>
        <sz val="11"/>
        <color rgb="FFFFFFFF"/>
        <rFont val="Arial"/>
        <family val="0"/>
        <charset val="1"/>
      </rPr>
      <t xml:space="preserve">-/</t>
    </r>
    <r>
      <rPr>
        <b val="true"/>
        <sz val="11"/>
        <color rgb="FFFFFFFF"/>
        <rFont val="Noto Sans KR"/>
        <family val="2"/>
        <charset val="129"/>
      </rPr>
      <t xml:space="preserve">초</t>
    </r>
  </si>
  <si>
    <t xml:space="preserve">식사속도</t>
  </si>
  <si>
    <t xml:space="preserve">이동속도</t>
  </si>
  <si>
    <t xml:space="preserve">weight</t>
  </si>
  <si>
    <t xml:space="preserve">시작해금</t>
  </si>
  <si>
    <t xml:space="preserve">Blonde</t>
  </si>
  <si>
    <t xml:space="preserve">X</t>
  </si>
  <si>
    <t xml:space="preserve">Boy</t>
  </si>
  <si>
    <t xml:space="preserve">College</t>
  </si>
  <si>
    <t xml:space="preserve">O</t>
  </si>
  <si>
    <t xml:space="preserve">DTCustomerData</t>
  </si>
  <si>
    <r>
      <rPr>
        <sz val="11"/>
        <color rgb="FF0000FF"/>
        <rFont val="Arial"/>
        <family val="0"/>
        <charset val="1"/>
      </rPr>
      <t xml:space="preserve">(DT/</t>
    </r>
    <r>
      <rPr>
        <sz val="11"/>
        <color rgb="FF0000FF"/>
        <rFont val="Noto Sans KR"/>
        <family val="2"/>
        <charset val="129"/>
      </rPr>
      <t xml:space="preserve">배달</t>
    </r>
    <r>
      <rPr>
        <sz val="11"/>
        <color rgb="FF0000FF"/>
        <rFont val="Arial"/>
        <family val="0"/>
        <charset val="1"/>
      </rPr>
      <t xml:space="preserve">)</t>
    </r>
  </si>
  <si>
    <t xml:space="preserve">LittleGirl</t>
  </si>
  <si>
    <t xml:space="preserve">OfficeWorker</t>
  </si>
  <si>
    <t xml:space="preserve">Police</t>
  </si>
  <si>
    <t xml:space="preserve">Rapper</t>
  </si>
  <si>
    <r>
      <rPr>
        <b val="true"/>
        <sz val="11"/>
        <rFont val="Noto Sans KR"/>
        <family val="2"/>
        <charset val="129"/>
      </rPr>
      <t xml:space="preserve">평균 지갑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KR"/>
        <family val="2"/>
        <charset val="129"/>
      </rPr>
      <t xml:space="preserve">매장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</si>
  <si>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4"/>
        <color rgb="FF305496"/>
        <rFont val="Noto Sans KR"/>
        <family val="2"/>
        <charset val="129"/>
      </rPr>
      <t xml:space="preserve">직원 </t>
    </r>
    <r>
      <rPr>
        <b val="true"/>
        <sz val="14"/>
        <color rgb="FF305496"/>
        <rFont val="Arial"/>
        <family val="0"/>
        <charset val="1"/>
      </rPr>
      <t xml:space="preserve">(</t>
    </r>
    <r>
      <rPr>
        <b val="true"/>
        <sz val="14"/>
        <color rgb="FF305496"/>
        <rFont val="Noto Sans KR"/>
        <family val="2"/>
        <charset val="129"/>
      </rPr>
      <t xml:space="preserve">인건비 </t>
    </r>
    <r>
      <rPr>
        <b val="true"/>
        <sz val="14"/>
        <color rgb="FF305496"/>
        <rFont val="Arial"/>
        <family val="0"/>
        <charset val="1"/>
      </rPr>
      <t xml:space="preserve">/ </t>
    </r>
    <r>
      <rPr>
        <b val="true"/>
        <sz val="14"/>
        <color rgb="FF305496"/>
        <rFont val="Noto Sans KR"/>
        <family val="2"/>
        <charset val="129"/>
      </rPr>
      <t xml:space="preserve">능력</t>
    </r>
    <r>
      <rPr>
        <b val="true"/>
        <sz val="14"/>
        <color rgb="FF305496"/>
        <rFont val="Arial"/>
        <family val="0"/>
        <charset val="1"/>
      </rPr>
      <t xml:space="preserve">)</t>
    </r>
  </si>
  <si>
    <t xml:space="preserve">직원</t>
  </si>
  <si>
    <r>
      <rPr>
        <b val="true"/>
        <sz val="11"/>
        <color rgb="FFFFFFFF"/>
        <rFont val="Noto Sans KR"/>
        <family val="2"/>
        <charset val="129"/>
      </rPr>
      <t xml:space="preserve">고용비</t>
    </r>
    <r>
      <rPr>
        <b val="true"/>
        <sz val="11"/>
        <color rgb="FFFFFFFF"/>
        <rFont val="Arial"/>
        <family val="0"/>
        <charset val="1"/>
      </rPr>
      <t xml:space="preserve">(₩)</t>
    </r>
  </si>
  <si>
    <r>
      <rPr>
        <b val="true"/>
        <sz val="11"/>
        <color rgb="FFFFFFFF"/>
        <rFont val="Noto Sans KR"/>
        <family val="2"/>
        <charset val="129"/>
      </rPr>
      <t xml:space="preserve">월급</t>
    </r>
    <r>
      <rPr>
        <b val="true"/>
        <sz val="11"/>
        <color rgb="FFFFFFFF"/>
        <rFont val="Arial"/>
        <family val="0"/>
        <charset val="1"/>
      </rPr>
      <t xml:space="preserve">(₩)</t>
    </r>
  </si>
  <si>
    <t xml:space="preserve">속도배수</t>
  </si>
  <si>
    <t xml:space="preserve">친절</t>
  </si>
  <si>
    <t xml:space="preserve">배달시간</t>
  </si>
  <si>
    <t xml:space="preserve">Cook_Junior</t>
  </si>
  <si>
    <t xml:space="preserve">Cook_Senior</t>
  </si>
  <si>
    <t xml:space="preserve">Cook_Manager</t>
  </si>
  <si>
    <t xml:space="preserve">Server_Junior</t>
  </si>
  <si>
    <t xml:space="preserve">Server_Senior</t>
  </si>
  <si>
    <t xml:space="preserve">Server_Manager</t>
  </si>
  <si>
    <t xml:space="preserve">Rider_Junior</t>
  </si>
  <si>
    <t xml:space="preserve">Rider_Senior</t>
  </si>
  <si>
    <t xml:space="preserve">Rider_Manager</t>
  </si>
  <si>
    <r>
      <rPr>
        <b val="true"/>
        <sz val="14"/>
        <color rgb="FF305496"/>
        <rFont val="Noto Sans KR"/>
        <family val="2"/>
        <charset val="129"/>
      </rPr>
      <t xml:space="preserve">가구 </t>
    </r>
    <r>
      <rPr>
        <b val="true"/>
        <sz val="14"/>
        <color rgb="FF305496"/>
        <rFont val="Arial"/>
        <family val="0"/>
        <charset val="1"/>
      </rPr>
      <t xml:space="preserve">/ </t>
    </r>
    <r>
      <rPr>
        <b val="true"/>
        <sz val="14"/>
        <color rgb="FF305496"/>
        <rFont val="Noto Sans KR"/>
        <family val="2"/>
        <charset val="129"/>
      </rPr>
      <t xml:space="preserve">조리도구</t>
    </r>
  </si>
  <si>
    <r>
      <rPr>
        <i val="true"/>
        <sz val="9"/>
        <color rgb="FF808080"/>
        <rFont val="Noto Sans KR"/>
        <family val="2"/>
        <charset val="129"/>
      </rPr>
      <t xml:space="preserve">조리타입은 읽기전용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KR"/>
        <family val="2"/>
        <charset val="129"/>
      </rPr>
      <t xml:space="preserve">매칭 </t>
    </r>
    <r>
      <rPr>
        <i val="true"/>
        <sz val="9"/>
        <color rgb="FF808080"/>
        <rFont val="Arial"/>
        <family val="0"/>
        <charset val="1"/>
      </rPr>
      <t xml:space="preserve">enum). </t>
    </r>
    <r>
      <rPr>
        <i val="true"/>
        <sz val="9"/>
        <color rgb="FF808080"/>
        <rFont val="Noto Sans KR"/>
        <family val="2"/>
        <charset val="129"/>
      </rPr>
      <t xml:space="preserve">사용시간</t>
    </r>
    <r>
      <rPr>
        <i val="true"/>
        <sz val="9"/>
        <color rgb="FF808080"/>
        <rFont val="Arial"/>
        <family val="0"/>
        <charset val="1"/>
      </rPr>
      <t xml:space="preserve">=</t>
    </r>
    <r>
      <rPr>
        <i val="true"/>
        <sz val="9"/>
        <color rgb="FF808080"/>
        <rFont val="Noto Sans KR"/>
        <family val="2"/>
        <charset val="129"/>
      </rPr>
      <t xml:space="preserve">조리시간</t>
    </r>
    <r>
      <rPr>
        <i val="true"/>
        <sz val="9"/>
        <color rgb="FF808080"/>
        <rFont val="Arial"/>
        <family val="0"/>
        <charset val="1"/>
      </rPr>
      <t xml:space="preserve">.</t>
    </r>
  </si>
  <si>
    <t xml:space="preserve">항목</t>
  </si>
  <si>
    <t xml:space="preserve">조리타입</t>
  </si>
  <si>
    <r>
      <rPr>
        <b val="true"/>
        <sz val="11"/>
        <color rgb="FFFFFFFF"/>
        <rFont val="Noto Sans KR"/>
        <family val="2"/>
        <charset val="129"/>
      </rPr>
      <t xml:space="preserve">설치비</t>
    </r>
    <r>
      <rPr>
        <b val="true"/>
        <sz val="11"/>
        <color rgb="FFFFFFFF"/>
        <rFont val="Arial"/>
        <family val="0"/>
        <charset val="1"/>
      </rPr>
      <t xml:space="preserve">(₩)</t>
    </r>
  </si>
  <si>
    <r>
      <rPr>
        <b val="true"/>
        <sz val="11"/>
        <color rgb="FFFFFFFF"/>
        <rFont val="Noto Sans KR"/>
        <family val="2"/>
        <charset val="129"/>
      </rPr>
      <t xml:space="preserve">사용시간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KR"/>
        <family val="2"/>
        <charset val="129"/>
      </rPr>
      <t xml:space="preserve">초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</si>
  <si>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Counter</t>
  </si>
  <si>
    <t xml:space="preserve">-</t>
  </si>
  <si>
    <t xml:space="preserve">PassWindow</t>
  </si>
  <si>
    <t xml:space="preserve">Phone</t>
  </si>
  <si>
    <t xml:space="preserve">Seat_1p</t>
  </si>
  <si>
    <t xml:space="preserve">Sink</t>
  </si>
  <si>
    <t xml:space="preserve">Toilet_1</t>
  </si>
  <si>
    <t xml:space="preserve">Toilet_2</t>
  </si>
  <si>
    <t xml:space="preserve">Toilet_3</t>
  </si>
  <si>
    <t xml:space="preserve">맵 확장 게이트</t>
  </si>
  <si>
    <t xml:space="preserve">확장</t>
  </si>
  <si>
    <r>
      <rPr>
        <b val="true"/>
        <sz val="11"/>
        <color rgb="FFFFFFFF"/>
        <rFont val="Noto Sans KR"/>
        <family val="2"/>
        <charset val="129"/>
      </rPr>
      <t xml:space="preserve">비용</t>
    </r>
    <r>
      <rPr>
        <b val="true"/>
        <sz val="11"/>
        <color rgb="FFFFFFFF"/>
        <rFont val="Arial"/>
        <family val="0"/>
        <charset val="1"/>
      </rPr>
      <t xml:space="preserve">(₩)</t>
    </r>
  </si>
  <si>
    <t xml:space="preserve">설명</t>
  </si>
  <si>
    <t xml:space="preserve">Stage1_DTUnlock</t>
  </si>
  <si>
    <r>
      <rPr>
        <sz val="9"/>
        <color rgb="FF808080"/>
        <rFont val="Arial"/>
        <family val="0"/>
        <charset val="1"/>
      </rPr>
      <t xml:space="preserve">DT(</t>
    </r>
    <r>
      <rPr>
        <sz val="9"/>
        <color rgb="FF808080"/>
        <rFont val="Noto Sans KR"/>
        <family val="2"/>
        <charset val="129"/>
      </rPr>
      <t xml:space="preserve">드라이브스루</t>
    </r>
    <r>
      <rPr>
        <sz val="9"/>
        <color rgb="FF808080"/>
        <rFont val="Arial"/>
        <family val="0"/>
        <charset val="1"/>
      </rPr>
      <t xml:space="preserve">) </t>
    </r>
    <r>
      <rPr>
        <sz val="9"/>
        <color rgb="FF808080"/>
        <rFont val="Noto Sans KR"/>
        <family val="2"/>
        <charset val="129"/>
      </rPr>
      <t xml:space="preserve">해금</t>
    </r>
  </si>
  <si>
    <t xml:space="preserve">Stage2_Floor2Hall</t>
  </si>
  <si>
    <r>
      <rPr>
        <sz val="9"/>
        <color rgb="FF808080"/>
        <rFont val="Arial"/>
        <family val="0"/>
        <charset val="1"/>
      </rPr>
      <t xml:space="preserve">2</t>
    </r>
    <r>
      <rPr>
        <sz val="9"/>
        <color rgb="FF808080"/>
        <rFont val="Noto Sans KR"/>
        <family val="2"/>
        <charset val="129"/>
      </rPr>
      <t xml:space="preserve">층 홀 확장</t>
    </r>
  </si>
  <si>
    <t xml:space="preserve">Stage3_Floor2Toilet</t>
  </si>
  <si>
    <r>
      <rPr>
        <sz val="9"/>
        <color rgb="FF808080"/>
        <rFont val="Arial"/>
        <family val="0"/>
        <charset val="1"/>
      </rPr>
      <t xml:space="preserve">2</t>
    </r>
    <r>
      <rPr>
        <sz val="9"/>
        <color rgb="FF808080"/>
        <rFont val="Noto Sans KR"/>
        <family val="2"/>
        <charset val="129"/>
      </rPr>
      <t xml:space="preserve">층 화장실 확장</t>
    </r>
  </si>
  <si>
    <t xml:space="preserve">마케팅 캠페인</t>
  </si>
  <si>
    <t xml:space="preserve">마케팅</t>
  </si>
  <si>
    <t xml:space="preserve">boost</t>
  </si>
  <si>
    <t xml:space="preserve">만족도비</t>
  </si>
  <si>
    <r>
      <rPr>
        <b val="true"/>
        <sz val="11"/>
        <color rgb="FFFFFFFF"/>
        <rFont val="Noto Sans KR"/>
        <family val="2"/>
        <charset val="129"/>
      </rPr>
      <t xml:space="preserve">기간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KR"/>
        <family val="2"/>
        <charset val="129"/>
      </rPr>
      <t xml:space="preserve">달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</si>
  <si>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FlyerAd</t>
  </si>
  <si>
    <t xml:space="preserve">전단지</t>
  </si>
  <si>
    <t xml:space="preserve">SNSAd</t>
  </si>
  <si>
    <t xml:space="preserve">SNS</t>
  </si>
  <si>
    <t xml:space="preserve">TVAd</t>
  </si>
  <si>
    <t xml:space="preserve">TV</t>
  </si>
  <si>
    <r>
      <rPr>
        <i val="true"/>
        <sz val="9"/>
        <color rgb="FF808080"/>
        <rFont val="Noto Sans KR"/>
        <family val="2"/>
        <charset val="129"/>
      </rPr>
      <t xml:space="preserve">실효 배수 </t>
    </r>
    <r>
      <rPr>
        <i val="true"/>
        <sz val="9"/>
        <color rgb="FF808080"/>
        <rFont val="Arial"/>
        <family val="0"/>
        <charset val="1"/>
      </rPr>
      <t xml:space="preserve">= 1 + ln(1 + Σboost)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</si>
</sst>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"/>
    <numFmt numFmtId="167" formatCode="0.0"/>
    <numFmt numFmtId="168" formatCode="0.0%"/>
  </numFmts>
  <fonts count="23">
    <font>
      <sz val="11"/>
      <color theme="1"/>
      <name val="Noto Sans KR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4"/>
      <color rgb="FF305496"/>
      <name val="Noto Sans KR"/>
      <family val="2"/>
      <charset val="129"/>
    </font>
    <font>
      <i val="true"/>
      <sz val="9"/>
      <color rgb="FF808080"/>
      <name val="Noto Sans KR"/>
      <family val="2"/>
      <charset val="129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Noto Sans KR"/>
      <family val="2"/>
      <charset val="129"/>
    </font>
    <font>
      <b val="true"/>
      <sz val="11"/>
      <color rgb="FFFFFFFF"/>
      <name val="Arial"/>
      <family val="0"/>
      <charset val="1"/>
    </font>
    <font>
      <sz val="11"/>
      <name val="Noto Sans KR"/>
      <family val="2"/>
      <charset val="129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sz val="9"/>
      <color rgb="FF808080"/>
      <name val="Noto Sans KR"/>
      <family val="2"/>
      <charset val="129"/>
    </font>
    <font>
      <sz val="11"/>
      <color rgb="FF000000"/>
      <name val="Arial"/>
      <family val="0"/>
      <charset val="1"/>
    </font>
    <font>
      <b val="true"/>
      <sz val="11"/>
      <name val="Noto Sans KR"/>
      <family val="2"/>
      <charset val="129"/>
    </font>
    <font>
      <b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4"/>
      <color rgb="FF305496"/>
      <name val="Arial"/>
      <family val="0"/>
      <charset val="1"/>
    </font>
    <font>
      <sz val="11"/>
      <color theme="1"/>
      <name val="Calibri"/>
      <family val="2"/>
      <charset val="1"/>
    </font>
    <font>
      <sz val="11"/>
      <color rgb="FF0000FF"/>
      <name val="Noto Sans KR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7.7734375" defaultRowHeight="15" zeroHeight="false" outlineLevelRow="0" outlineLevelCol="0"/>
  <cols>
    <col collapsed="false" customWidth="true" hidden="false" outlineLevel="0" max="1" min="1" style="0" width="23.66"/>
    <col collapsed="false" customWidth="true" hidden="false" outlineLevel="0" max="2" min="2" style="0" width="14.56"/>
    <col collapsed="false" customWidth="true" hidden="false" outlineLevel="0" max="3" min="3" style="0" width="30.93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false" outlineLevel="0" collapsed="false">
      <c r="A5" s="5" t="s">
        <v>3</v>
      </c>
      <c r="B5" s="6" t="n">
        <v>240</v>
      </c>
      <c r="C5" s="7" t="s">
        <v>4</v>
      </c>
    </row>
    <row r="6" customFormat="false" ht="15" hidden="false" customHeight="false" outlineLevel="0" collapsed="false">
      <c r="A6" s="5" t="s">
        <v>5</v>
      </c>
      <c r="B6" s="8" t="n">
        <v>20</v>
      </c>
      <c r="C6" s="7" t="s">
        <v>6</v>
      </c>
    </row>
    <row r="7" customFormat="false" ht="15" hidden="false" customHeight="false" outlineLevel="0" collapsed="false">
      <c r="A7" s="5" t="s">
        <v>7</v>
      </c>
      <c r="B7" s="9" t="n">
        <v>1</v>
      </c>
      <c r="C7" s="10" t="s">
        <v>8</v>
      </c>
    </row>
    <row r="8" customFormat="false" ht="15" hidden="false" customHeight="false" outlineLevel="0" collapsed="false">
      <c r="A8" s="5" t="s">
        <v>9</v>
      </c>
      <c r="B8" s="8" t="n">
        <v>3</v>
      </c>
      <c r="C8" s="10" t="s">
        <v>10</v>
      </c>
    </row>
    <row r="9" customFormat="false" ht="15" hidden="false" customHeight="false" outlineLevel="0" collapsed="false">
      <c r="A9" s="5" t="s">
        <v>11</v>
      </c>
      <c r="B9" s="8" t="n">
        <v>30</v>
      </c>
      <c r="C9" s="10" t="s">
        <v>12</v>
      </c>
    </row>
    <row r="10" customFormat="false" ht="15" hidden="false" customHeight="false" outlineLevel="0" collapsed="false">
      <c r="A10" s="5" t="s">
        <v>13</v>
      </c>
      <c r="B10" s="6" t="n">
        <v>1900</v>
      </c>
      <c r="C10" s="10" t="s">
        <v>14</v>
      </c>
    </row>
    <row r="12" customFormat="false" ht="15" hidden="false" customHeight="false" outlineLevel="0" collapsed="false">
      <c r="A12" s="3" t="s">
        <v>15</v>
      </c>
      <c r="B12" s="4"/>
      <c r="C12" s="4"/>
    </row>
    <row r="13" customFormat="false" ht="15" hidden="false" customHeight="false" outlineLevel="0" collapsed="false">
      <c r="A13" s="5" t="s">
        <v>16</v>
      </c>
      <c r="B13" s="11" t="n">
        <f aca="false">B6/B7</f>
        <v>20</v>
      </c>
      <c r="C13" s="10" t="s">
        <v>17</v>
      </c>
    </row>
    <row r="14" customFormat="false" ht="15" hidden="false" customHeight="false" outlineLevel="0" collapsed="false">
      <c r="A14" s="5" t="s">
        <v>18</v>
      </c>
      <c r="B14" s="11" t="n">
        <f aca="false">B5/B13</f>
        <v>12</v>
      </c>
      <c r="C14" s="10" t="s">
        <v>19</v>
      </c>
    </row>
    <row r="15" customFormat="false" ht="15" hidden="false" customHeight="false" outlineLevel="0" collapsed="false">
      <c r="A15" s="5" t="s">
        <v>20</v>
      </c>
      <c r="B15" s="11" t="n">
        <f aca="false">B8*B5/B9</f>
        <v>24</v>
      </c>
      <c r="C15" s="10" t="s">
        <v>21</v>
      </c>
    </row>
    <row r="16" customFormat="false" ht="15" hidden="false" customHeight="false" outlineLevel="0" collapsed="false">
      <c r="A16" s="12" t="s">
        <v>22</v>
      </c>
      <c r="B16" s="13" t="n">
        <f aca="false">MIN(B14,B15)</f>
        <v>12</v>
      </c>
      <c r="C16" s="10" t="s">
        <v>23</v>
      </c>
    </row>
    <row r="17" customFormat="false" ht="15" hidden="false" customHeight="false" outlineLevel="0" collapsed="false">
      <c r="A17" s="5" t="s">
        <v>24</v>
      </c>
      <c r="B17" s="14" t="n">
        <f aca="false">손님!B12</f>
        <v>14285.7142857143</v>
      </c>
      <c r="C17" s="10" t="s">
        <v>25</v>
      </c>
    </row>
    <row r="18" customFormat="false" ht="15" hidden="false" customHeight="false" outlineLevel="0" collapsed="false">
      <c r="A18" s="5" t="s">
        <v>26</v>
      </c>
      <c r="B18" s="15" t="n">
        <f aca="false">메뉴!F29</f>
        <v>0.731811000999001</v>
      </c>
      <c r="C18" s="10" t="s">
        <v>27</v>
      </c>
    </row>
    <row r="19" customFormat="false" ht="15" hidden="false" customHeight="false" outlineLevel="0" collapsed="false">
      <c r="A19" s="5" t="s">
        <v>28</v>
      </c>
      <c r="B19" s="16" t="n">
        <f aca="false">B17*B18</f>
        <v>10454.4428714143</v>
      </c>
      <c r="C19" s="10" t="s">
        <v>29</v>
      </c>
    </row>
    <row r="20" customFormat="false" ht="15" hidden="false" customHeight="false" outlineLevel="0" collapsed="false">
      <c r="A20" s="12" t="s">
        <v>30</v>
      </c>
      <c r="B20" s="17" t="n">
        <f aca="false">B16*B19</f>
        <v>125453.314456972</v>
      </c>
    </row>
    <row r="21" customFormat="false" ht="15" hidden="false" customHeight="false" outlineLevel="0" collapsed="false">
      <c r="A21" s="5" t="s">
        <v>31</v>
      </c>
      <c r="B21" s="16" t="n">
        <f aca="false">B10</f>
        <v>1900</v>
      </c>
      <c r="C21" s="10" t="s">
        <v>32</v>
      </c>
    </row>
    <row r="22" customFormat="false" ht="15" hidden="false" customHeight="false" outlineLevel="0" collapsed="false">
      <c r="A22" s="12" t="s">
        <v>33</v>
      </c>
      <c r="B22" s="18" t="n">
        <f aca="false">B20-B21</f>
        <v>123553.314456972</v>
      </c>
    </row>
    <row r="24" customFormat="false" ht="15" hidden="false" customHeight="false" outlineLevel="0" collapsed="false">
      <c r="A24" s="3" t="s">
        <v>34</v>
      </c>
      <c r="B24" s="4"/>
      <c r="C24" s="4"/>
    </row>
    <row r="25" customFormat="false" ht="15" hidden="false" customHeight="false" outlineLevel="0" collapsed="false">
      <c r="A25" s="19" t="s">
        <v>35</v>
      </c>
      <c r="B25" s="11" t="n">
        <f aca="false">IF($B$22&lt;=0,"적자",맵확장!B4/$B$22)</f>
        <v>1.21405079790262</v>
      </c>
      <c r="C25" s="10" t="s">
        <v>36</v>
      </c>
    </row>
    <row r="26" customFormat="false" ht="15" hidden="false" customHeight="false" outlineLevel="0" collapsed="false">
      <c r="A26" s="19" t="s">
        <v>37</v>
      </c>
      <c r="B26" s="11" t="n">
        <f aca="false">IF($B$22&lt;=0,"적자",맵확장!B5/$B$22)</f>
        <v>2.02341799650437</v>
      </c>
      <c r="C26" s="10" t="s">
        <v>36</v>
      </c>
    </row>
    <row r="27" customFormat="false" ht="15" hidden="false" customHeight="false" outlineLevel="0" collapsed="false">
      <c r="A27" s="5" t="s">
        <v>38</v>
      </c>
      <c r="B27" s="11" t="n">
        <f aca="false">IF($B$22&lt;=0,"적자",맵확장!B6/$B$22)</f>
        <v>3.23746879440699</v>
      </c>
      <c r="C27" s="1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7.7734375" defaultRowHeight="15" zeroHeight="false" outlineLevelRow="0" outlineLevelCol="0"/>
  <cols>
    <col collapsed="false" customWidth="true" hidden="false" outlineLevel="0" max="2" min="1" style="0" width="14.56"/>
    <col collapsed="false" customWidth="true" hidden="false" outlineLevel="0" max="5" min="3" style="0" width="10.01"/>
    <col collapsed="false" customWidth="true" hidden="false" outlineLevel="0" max="6" min="6" style="0" width="8.19"/>
    <col collapsed="false" customWidth="true" hidden="false" outlineLevel="0" max="7" min="7" style="0" width="10.01"/>
    <col collapsed="false" customWidth="true" hidden="false" outlineLevel="0" max="8" min="8" style="0" width="12.74"/>
  </cols>
  <sheetData>
    <row r="1" customFormat="false" ht="1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3" customFormat="false" ht="15" hidden="false" customHeight="false" outlineLevel="0" collapsed="false">
      <c r="A3" s="20" t="s">
        <v>41</v>
      </c>
      <c r="B3" s="20" t="s">
        <v>42</v>
      </c>
      <c r="C3" s="20" t="s">
        <v>43</v>
      </c>
      <c r="D3" s="20" t="s">
        <v>44</v>
      </c>
      <c r="E3" s="20" t="s">
        <v>45</v>
      </c>
      <c r="F3" s="20" t="s">
        <v>46</v>
      </c>
      <c r="G3" s="20" t="s">
        <v>47</v>
      </c>
      <c r="H3" s="20" t="s">
        <v>48</v>
      </c>
    </row>
    <row r="4" customFormat="false" ht="15" hidden="false" customHeight="false" outlineLevel="0" collapsed="false">
      <c r="A4" s="21" t="s">
        <v>49</v>
      </c>
      <c r="B4" s="8" t="s">
        <v>50</v>
      </c>
      <c r="C4" s="6" t="n">
        <v>3000</v>
      </c>
      <c r="D4" s="6" t="n">
        <v>825</v>
      </c>
      <c r="E4" s="22" t="n">
        <f aca="false">C4-D4</f>
        <v>2175</v>
      </c>
      <c r="F4" s="23" t="n">
        <f aca="false">IF(C4=0,0,E4/C4)</f>
        <v>0.725</v>
      </c>
      <c r="G4" s="8" t="n">
        <v>0.5</v>
      </c>
      <c r="H4" s="6" t="n">
        <v>500</v>
      </c>
    </row>
    <row r="5" customFormat="false" ht="15" hidden="false" customHeight="false" outlineLevel="0" collapsed="false">
      <c r="A5" s="21" t="s">
        <v>51</v>
      </c>
      <c r="B5" s="8" t="s">
        <v>52</v>
      </c>
      <c r="C5" s="6" t="n">
        <v>2000</v>
      </c>
      <c r="D5" s="6" t="n">
        <v>550</v>
      </c>
      <c r="E5" s="22" t="n">
        <f aca="false">C5-D5</f>
        <v>1450</v>
      </c>
      <c r="F5" s="23" t="n">
        <f aca="false">IF(C5=0,0,E5/C5)</f>
        <v>0.725</v>
      </c>
      <c r="G5" s="8" t="n">
        <v>0.5</v>
      </c>
      <c r="H5" s="6" t="n">
        <v>500</v>
      </c>
    </row>
    <row r="6" customFormat="false" ht="13.8" hidden="false" customHeight="false" outlineLevel="0" collapsed="false">
      <c r="A6" s="21" t="s">
        <v>53</v>
      </c>
      <c r="B6" s="8" t="s">
        <v>50</v>
      </c>
      <c r="C6" s="6" t="n">
        <v>5500</v>
      </c>
      <c r="D6" s="6" t="n">
        <v>1513</v>
      </c>
      <c r="E6" s="22" t="n">
        <f aca="false">C6-D6</f>
        <v>3987</v>
      </c>
      <c r="F6" s="23" t="n">
        <f aca="false">IF(C6=0,0,E6/C6)</f>
        <v>0.724909090909091</v>
      </c>
      <c r="G6" s="8" t="n">
        <v>0.5</v>
      </c>
      <c r="H6" s="6" t="n">
        <v>800</v>
      </c>
    </row>
    <row r="7" customFormat="false" ht="15" hidden="false" customHeight="false" outlineLevel="0" collapsed="false">
      <c r="A7" s="21" t="s">
        <v>54</v>
      </c>
      <c r="B7" s="8" t="s">
        <v>55</v>
      </c>
      <c r="C7" s="6" t="n">
        <v>6000</v>
      </c>
      <c r="D7" s="6" t="n">
        <v>1800</v>
      </c>
      <c r="E7" s="22" t="n">
        <f aca="false">C7-D7</f>
        <v>4200</v>
      </c>
      <c r="F7" s="23" t="n">
        <f aca="false">IF(C7=0,0,E7/C7)</f>
        <v>0.7</v>
      </c>
      <c r="G7" s="8" t="n">
        <v>0.5</v>
      </c>
      <c r="H7" s="6" t="n">
        <v>1000</v>
      </c>
    </row>
    <row r="8" customFormat="false" ht="15" hidden="false" customHeight="false" outlineLevel="0" collapsed="false">
      <c r="A8" s="21" t="s">
        <v>56</v>
      </c>
      <c r="B8" s="8" t="s">
        <v>52</v>
      </c>
      <c r="C8" s="6" t="n">
        <v>6000</v>
      </c>
      <c r="D8" s="6" t="n">
        <v>1650</v>
      </c>
      <c r="E8" s="22" t="n">
        <f aca="false">C8-D8</f>
        <v>4350</v>
      </c>
      <c r="F8" s="23" t="n">
        <f aca="false">IF(C8=0,0,E8/C8)</f>
        <v>0.725</v>
      </c>
      <c r="G8" s="8" t="n">
        <v>0.5</v>
      </c>
      <c r="H8" s="6" t="n">
        <v>1000</v>
      </c>
    </row>
    <row r="9" customFormat="false" ht="15" hidden="false" customHeight="false" outlineLevel="0" collapsed="false">
      <c r="A9" s="21" t="s">
        <v>57</v>
      </c>
      <c r="B9" s="8" t="s">
        <v>52</v>
      </c>
      <c r="C9" s="6" t="n">
        <v>7000</v>
      </c>
      <c r="D9" s="6" t="n">
        <v>1923</v>
      </c>
      <c r="E9" s="22" t="n">
        <f aca="false">C9-D9</f>
        <v>5077</v>
      </c>
      <c r="F9" s="23" t="n">
        <f aca="false">IF(C9=0,0,E9/C9)</f>
        <v>0.725285714285714</v>
      </c>
      <c r="G9" s="8" t="n">
        <v>0.5</v>
      </c>
      <c r="H9" s="6" t="n">
        <v>1050</v>
      </c>
    </row>
    <row r="10" customFormat="false" ht="15" hidden="false" customHeight="false" outlineLevel="0" collapsed="false">
      <c r="A10" s="21" t="s">
        <v>58</v>
      </c>
      <c r="B10" s="8" t="s">
        <v>52</v>
      </c>
      <c r="C10" s="6" t="n">
        <v>2500</v>
      </c>
      <c r="D10" s="6" t="n">
        <v>688</v>
      </c>
      <c r="E10" s="22" t="n">
        <f aca="false">C10-D10</f>
        <v>1812</v>
      </c>
      <c r="F10" s="23" t="n">
        <f aca="false">IF(C10=0,0,E10/C10)</f>
        <v>0.7248</v>
      </c>
      <c r="G10" s="8" t="n">
        <v>0.5</v>
      </c>
      <c r="H10" s="6" t="n">
        <v>700</v>
      </c>
    </row>
    <row r="11" customFormat="false" ht="15" hidden="false" customHeight="false" outlineLevel="0" collapsed="false">
      <c r="A11" s="21" t="s">
        <v>59</v>
      </c>
      <c r="B11" s="8" t="s">
        <v>50</v>
      </c>
      <c r="C11" s="6" t="n">
        <v>8000</v>
      </c>
      <c r="D11" s="6" t="n">
        <v>2200</v>
      </c>
      <c r="E11" s="22" t="n">
        <f aca="false">C11-D11</f>
        <v>5800</v>
      </c>
      <c r="F11" s="23" t="n">
        <f aca="false">IF(C11=0,0,E11/C11)</f>
        <v>0.725</v>
      </c>
      <c r="G11" s="8" t="n">
        <v>0.5</v>
      </c>
      <c r="H11" s="6" t="n">
        <v>1100</v>
      </c>
    </row>
    <row r="12" customFormat="false" ht="15" hidden="false" customHeight="false" outlineLevel="0" collapsed="false">
      <c r="A12" s="21" t="s">
        <v>60</v>
      </c>
      <c r="B12" s="8" t="s">
        <v>50</v>
      </c>
      <c r="C12" s="6" t="n">
        <v>6000</v>
      </c>
      <c r="D12" s="6" t="n">
        <v>1650</v>
      </c>
      <c r="E12" s="22" t="n">
        <f aca="false">C12-D12</f>
        <v>4350</v>
      </c>
      <c r="F12" s="23" t="n">
        <f aca="false">IF(C12=0,0,E12/C12)</f>
        <v>0.725</v>
      </c>
      <c r="G12" s="8" t="n">
        <v>0.5</v>
      </c>
      <c r="H12" s="6" t="n">
        <v>800</v>
      </c>
    </row>
    <row r="13" customFormat="false" ht="15" hidden="false" customHeight="false" outlineLevel="0" collapsed="false">
      <c r="A13" s="21" t="s">
        <v>61</v>
      </c>
      <c r="B13" s="8" t="s">
        <v>62</v>
      </c>
      <c r="C13" s="6" t="n">
        <v>4000</v>
      </c>
      <c r="D13" s="6" t="n">
        <v>850</v>
      </c>
      <c r="E13" s="22" t="n">
        <f aca="false">C13-D13</f>
        <v>3150</v>
      </c>
      <c r="F13" s="23" t="n">
        <f aca="false">IF(C13=0,0,E13/C13)</f>
        <v>0.7875</v>
      </c>
      <c r="G13" s="8" t="n">
        <v>0.5</v>
      </c>
      <c r="H13" s="6" t="n">
        <v>700</v>
      </c>
    </row>
    <row r="14" customFormat="false" ht="15" hidden="false" customHeight="false" outlineLevel="0" collapsed="false">
      <c r="A14" s="21" t="s">
        <v>63</v>
      </c>
      <c r="B14" s="8" t="s">
        <v>50</v>
      </c>
      <c r="C14" s="6" t="n">
        <v>1500</v>
      </c>
      <c r="D14" s="6" t="n">
        <v>413</v>
      </c>
      <c r="E14" s="22" t="n">
        <f aca="false">C14-D14</f>
        <v>1087</v>
      </c>
      <c r="F14" s="23" t="n">
        <f aca="false">IF(C14=0,0,E14/C14)</f>
        <v>0.724666666666667</v>
      </c>
      <c r="G14" s="8" t="n">
        <v>0.5</v>
      </c>
      <c r="H14" s="6" t="n">
        <v>50</v>
      </c>
    </row>
    <row r="15" customFormat="false" ht="15" hidden="false" customHeight="false" outlineLevel="0" collapsed="false">
      <c r="A15" s="21" t="s">
        <v>64</v>
      </c>
      <c r="B15" s="8" t="s">
        <v>52</v>
      </c>
      <c r="C15" s="6" t="n">
        <v>6500</v>
      </c>
      <c r="D15" s="6" t="n">
        <v>1788</v>
      </c>
      <c r="E15" s="22" t="n">
        <f aca="false">C15-D15</f>
        <v>4712</v>
      </c>
      <c r="F15" s="23" t="n">
        <f aca="false">IF(C15=0,0,E15/C15)</f>
        <v>0.724923076923077</v>
      </c>
      <c r="G15" s="8" t="n">
        <v>0.5</v>
      </c>
      <c r="H15" s="6" t="n">
        <v>1000</v>
      </c>
    </row>
    <row r="16" customFormat="false" ht="15" hidden="false" customHeight="false" outlineLevel="0" collapsed="false">
      <c r="A16" s="21" t="s">
        <v>65</v>
      </c>
      <c r="B16" s="8" t="s">
        <v>52</v>
      </c>
      <c r="C16" s="6" t="n">
        <v>4000</v>
      </c>
      <c r="D16" s="6" t="n">
        <v>1100</v>
      </c>
      <c r="E16" s="22" t="n">
        <f aca="false">C16-D16</f>
        <v>2900</v>
      </c>
      <c r="F16" s="23" t="n">
        <f aca="false">IF(C16=0,0,E16/C16)</f>
        <v>0.725</v>
      </c>
      <c r="G16" s="8" t="n">
        <v>0.5</v>
      </c>
      <c r="H16" s="6" t="n">
        <v>1000</v>
      </c>
    </row>
    <row r="17" customFormat="false" ht="15" hidden="false" customHeight="false" outlineLevel="0" collapsed="false">
      <c r="A17" s="21" t="s">
        <v>66</v>
      </c>
      <c r="B17" s="8" t="s">
        <v>55</v>
      </c>
      <c r="C17" s="6" t="n">
        <v>3500</v>
      </c>
      <c r="D17" s="6" t="n">
        <v>1050</v>
      </c>
      <c r="E17" s="22" t="n">
        <f aca="false">C17-D17</f>
        <v>2450</v>
      </c>
      <c r="F17" s="23" t="n">
        <f aca="false">IF(C17=0,0,E17/C17)</f>
        <v>0.7</v>
      </c>
      <c r="G17" s="8" t="n">
        <v>0.5</v>
      </c>
      <c r="H17" s="6" t="n">
        <v>700</v>
      </c>
    </row>
    <row r="18" customFormat="false" ht="15" hidden="false" customHeight="false" outlineLevel="0" collapsed="false">
      <c r="A18" s="21" t="s">
        <v>67</v>
      </c>
      <c r="B18" s="8" t="s">
        <v>68</v>
      </c>
      <c r="C18" s="6" t="n">
        <v>4000</v>
      </c>
      <c r="D18" s="6" t="n">
        <v>700</v>
      </c>
      <c r="E18" s="22" t="n">
        <f aca="false">C18-D18</f>
        <v>3300</v>
      </c>
      <c r="F18" s="23" t="n">
        <f aca="false">IF(C18=0,0,E18/C18)</f>
        <v>0.825</v>
      </c>
      <c r="G18" s="8" t="n">
        <v>0.5</v>
      </c>
      <c r="H18" s="6" t="n">
        <v>1300</v>
      </c>
    </row>
    <row r="19" customFormat="false" ht="15" hidden="false" customHeight="false" outlineLevel="0" collapsed="false">
      <c r="A19" s="21" t="s">
        <v>69</v>
      </c>
      <c r="B19" s="8" t="s">
        <v>55</v>
      </c>
      <c r="C19" s="6" t="n">
        <v>8000</v>
      </c>
      <c r="D19" s="6" t="n">
        <v>2400</v>
      </c>
      <c r="E19" s="22" t="n">
        <f aca="false">C19-D19</f>
        <v>5600</v>
      </c>
      <c r="F19" s="23" t="n">
        <f aca="false">IF(C19=0,0,E19/C19)</f>
        <v>0.7</v>
      </c>
      <c r="G19" s="8" t="n">
        <v>0.5</v>
      </c>
      <c r="H19" s="6" t="n">
        <v>1200</v>
      </c>
    </row>
    <row r="20" customFormat="false" ht="15" hidden="false" customHeight="false" outlineLevel="0" collapsed="false">
      <c r="A20" s="21" t="s">
        <v>70</v>
      </c>
      <c r="B20" s="8" t="s">
        <v>50</v>
      </c>
      <c r="C20" s="6" t="n">
        <v>5000</v>
      </c>
      <c r="D20" s="6" t="n">
        <v>1375</v>
      </c>
      <c r="E20" s="22" t="n">
        <f aca="false">C20-D20</f>
        <v>3625</v>
      </c>
      <c r="F20" s="23" t="n">
        <f aca="false">IF(C20=0,0,E20/C20)</f>
        <v>0.725</v>
      </c>
      <c r="G20" s="8" t="n">
        <v>0.5</v>
      </c>
      <c r="H20" s="6" t="n">
        <v>1000</v>
      </c>
    </row>
    <row r="21" customFormat="false" ht="15" hidden="false" customHeight="false" outlineLevel="0" collapsed="false">
      <c r="A21" s="21" t="s">
        <v>71</v>
      </c>
      <c r="B21" s="8" t="s">
        <v>55</v>
      </c>
      <c r="C21" s="6" t="n">
        <v>8000</v>
      </c>
      <c r="D21" s="6" t="n">
        <v>2400</v>
      </c>
      <c r="E21" s="22" t="n">
        <f aca="false">C21-D21</f>
        <v>5600</v>
      </c>
      <c r="F21" s="23" t="n">
        <f aca="false">IF(C21=0,0,E21/C21)</f>
        <v>0.7</v>
      </c>
      <c r="G21" s="8" t="n">
        <v>0.5</v>
      </c>
      <c r="H21" s="6" t="n">
        <v>1200</v>
      </c>
    </row>
    <row r="22" customFormat="false" ht="15" hidden="false" customHeight="false" outlineLevel="0" collapsed="false">
      <c r="A22" s="21" t="s">
        <v>72</v>
      </c>
      <c r="B22" s="8" t="s">
        <v>52</v>
      </c>
      <c r="C22" s="6" t="n">
        <v>5000</v>
      </c>
      <c r="D22" s="6" t="n">
        <v>1375</v>
      </c>
      <c r="E22" s="22" t="n">
        <f aca="false">C22-D22</f>
        <v>3625</v>
      </c>
      <c r="F22" s="23" t="n">
        <f aca="false">IF(C22=0,0,E22/C22)</f>
        <v>0.725</v>
      </c>
      <c r="G22" s="8" t="n">
        <v>0.5</v>
      </c>
      <c r="H22" s="6" t="n">
        <v>1100</v>
      </c>
    </row>
    <row r="23" customFormat="false" ht="15" hidden="false" customHeight="false" outlineLevel="0" collapsed="false">
      <c r="A23" s="21" t="s">
        <v>73</v>
      </c>
      <c r="B23" s="8" t="s">
        <v>50</v>
      </c>
      <c r="C23" s="6" t="n">
        <v>10000</v>
      </c>
      <c r="D23" s="6" t="n">
        <v>2750</v>
      </c>
      <c r="E23" s="22" t="n">
        <f aca="false">C23-D23</f>
        <v>7250</v>
      </c>
      <c r="F23" s="23" t="n">
        <f aca="false">IF(C23=0,0,E23/C23)</f>
        <v>0.725</v>
      </c>
      <c r="G23" s="8" t="n">
        <v>0.5</v>
      </c>
      <c r="H23" s="6" t="n">
        <v>1100</v>
      </c>
    </row>
    <row r="24" customFormat="false" ht="15" hidden="false" customHeight="false" outlineLevel="0" collapsed="false">
      <c r="A24" s="21" t="s">
        <v>74</v>
      </c>
      <c r="B24" s="8" t="s">
        <v>52</v>
      </c>
      <c r="C24" s="6" t="n">
        <v>3500</v>
      </c>
      <c r="D24" s="6" t="n">
        <v>963</v>
      </c>
      <c r="E24" s="22" t="n">
        <f aca="false">C24-D24</f>
        <v>2537</v>
      </c>
      <c r="F24" s="23" t="n">
        <f aca="false">IF(C24=0,0,E24/C24)</f>
        <v>0.724857142857143</v>
      </c>
      <c r="G24" s="8" t="n">
        <v>0.5</v>
      </c>
      <c r="H24" s="6" t="n">
        <v>800</v>
      </c>
    </row>
    <row r="25" customFormat="false" ht="15" hidden="false" customHeight="false" outlineLevel="0" collapsed="false">
      <c r="A25" s="21" t="s">
        <v>75</v>
      </c>
      <c r="B25" s="8" t="s">
        <v>76</v>
      </c>
      <c r="C25" s="6" t="n">
        <v>15000</v>
      </c>
      <c r="D25" s="6" t="n">
        <v>2500</v>
      </c>
      <c r="E25" s="22" t="n">
        <f aca="false">C25-D25</f>
        <v>12500</v>
      </c>
      <c r="F25" s="23" t="n">
        <f aca="false">IF(C25=0,0,E25/C25)</f>
        <v>0.833333333333333</v>
      </c>
      <c r="G25" s="8" t="n">
        <v>0.5</v>
      </c>
      <c r="H25" s="6" t="n">
        <v>1500</v>
      </c>
    </row>
    <row r="26" customFormat="false" ht="15" hidden="false" customHeight="false" outlineLevel="0" collapsed="false">
      <c r="A26" s="21" t="s">
        <v>77</v>
      </c>
      <c r="B26" s="8" t="s">
        <v>50</v>
      </c>
      <c r="C26" s="6" t="n">
        <v>7000</v>
      </c>
      <c r="D26" s="6" t="n">
        <v>1925</v>
      </c>
      <c r="E26" s="22" t="n">
        <f aca="false">C26-D26</f>
        <v>5075</v>
      </c>
      <c r="F26" s="23" t="n">
        <f aca="false">IF(C26=0,0,E26/C26)</f>
        <v>0.725</v>
      </c>
      <c r="G26" s="8" t="n">
        <v>0.5</v>
      </c>
      <c r="H26" s="6" t="n">
        <v>1000</v>
      </c>
    </row>
    <row r="27" customFormat="false" ht="15" hidden="false" customHeight="false" outlineLevel="0" collapsed="false">
      <c r="A27" s="21" t="s">
        <v>78</v>
      </c>
      <c r="B27" s="8" t="s">
        <v>50</v>
      </c>
      <c r="C27" s="6" t="n">
        <v>4000</v>
      </c>
      <c r="D27" s="6" t="n">
        <v>1100</v>
      </c>
      <c r="E27" s="22" t="n">
        <f aca="false">C27-D27</f>
        <v>2900</v>
      </c>
      <c r="F27" s="23" t="n">
        <f aca="false">IF(C27=0,0,E27/C27)</f>
        <v>0.725</v>
      </c>
      <c r="G27" s="8" t="n">
        <v>0.5</v>
      </c>
      <c r="H27" s="6" t="n">
        <v>1500</v>
      </c>
    </row>
    <row r="28" customFormat="false" ht="15" hidden="false" customHeight="false" outlineLevel="0" collapsed="false">
      <c r="A28" s="21" t="s">
        <v>79</v>
      </c>
      <c r="B28" s="8" t="s">
        <v>52</v>
      </c>
      <c r="C28" s="6" t="n">
        <v>3000</v>
      </c>
      <c r="D28" s="6" t="n">
        <v>825</v>
      </c>
      <c r="E28" s="22" t="n">
        <f aca="false">C28-D28</f>
        <v>2175</v>
      </c>
      <c r="F28" s="23" t="n">
        <f aca="false">IF(C28=0,0,E28/C28)</f>
        <v>0.725</v>
      </c>
      <c r="G28" s="8" t="n">
        <v>0.5</v>
      </c>
      <c r="H28" s="6" t="n">
        <v>500</v>
      </c>
    </row>
    <row r="29" customFormat="false" ht="15" hidden="false" customHeight="false" outlineLevel="0" collapsed="false">
      <c r="A29" s="12" t="s">
        <v>80</v>
      </c>
      <c r="E29" s="24" t="n">
        <f aca="false">AVERAGE(E4:E28)</f>
        <v>4067.48</v>
      </c>
      <c r="F29" s="25" t="n">
        <f aca="false">AVERAGE(F4:F28)</f>
        <v>0.731811000999001</v>
      </c>
    </row>
  </sheetData>
  <conditionalFormatting sqref="F4:F28">
    <cfRule type="colorScale" priority="2">
      <colorScale>
        <cfvo type="num" val="0.4"/>
        <cfvo type="num" val="0.7"/>
        <cfvo type="num" val="0.9"/>
        <color rgb="FFF8696B"/>
        <color rgb="FFFFEB84"/>
        <color rgb="FF63BE7B"/>
      </colorScale>
    </cfRule>
  </conditionalFormatting>
  <dataValidations count="1">
    <dataValidation allowBlank="true" errorStyle="stop" operator="between" showDropDown="false" showErrorMessage="false" showInputMessage="false" sqref="B4:B28" type="list">
      <formula1>"BreadRack,FishCuttingTable,Fryer,Grill,IceCreamMachine,Microwave"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zeroHeight="false" outlineLevelRow="0" outlineLevelCol="0"/>
  <cols>
    <col collapsed="false" customWidth="true" hidden="false" outlineLevel="0" max="1" min="1" style="0" width="14.56"/>
    <col collapsed="false" customWidth="true" hidden="false" outlineLevel="0" max="2" min="2" style="0" width="10.01"/>
    <col collapsed="false" customWidth="true" hidden="false" outlineLevel="0" max="3" min="3" style="0" width="8.19"/>
    <col collapsed="false" customWidth="true" hidden="false" outlineLevel="0" max="4" min="4" style="0" width="9.1"/>
    <col collapsed="false" customWidth="true" hidden="false" outlineLevel="0" max="8" min="5" style="0" width="8.19"/>
    <col collapsed="false" customWidth="true" hidden="false" outlineLevel="0" max="9" min="9" style="0" width="7.28"/>
    <col collapsed="false" customWidth="true" hidden="false" outlineLevel="0" max="10" min="10" style="0" width="8.19"/>
  </cols>
  <sheetData>
    <row r="1" customFormat="false" ht="15" hidden="false" customHeight="false" outlineLevel="0" collapsed="false">
      <c r="A1" s="26" t="s">
        <v>81</v>
      </c>
    </row>
    <row r="3" customFormat="false" ht="15" hidden="false" customHeight="false" outlineLevel="0" collapsed="false">
      <c r="A3" s="20" t="s">
        <v>82</v>
      </c>
      <c r="B3" s="20" t="s">
        <v>83</v>
      </c>
      <c r="C3" s="20" t="s">
        <v>84</v>
      </c>
      <c r="D3" s="20" t="s">
        <v>85</v>
      </c>
      <c r="E3" s="20" t="s">
        <v>86</v>
      </c>
      <c r="F3" s="20" t="s">
        <v>87</v>
      </c>
      <c r="G3" s="20" t="s">
        <v>88</v>
      </c>
      <c r="H3" s="20" t="s">
        <v>89</v>
      </c>
      <c r="I3" s="27" t="s">
        <v>90</v>
      </c>
      <c r="J3" s="20" t="s">
        <v>91</v>
      </c>
    </row>
    <row r="4" customFormat="false" ht="15" hidden="false" customHeight="false" outlineLevel="0" collapsed="false">
      <c r="A4" s="21" t="s">
        <v>92</v>
      </c>
      <c r="B4" s="6" t="n">
        <v>17000</v>
      </c>
      <c r="C4" s="8" t="n">
        <v>50</v>
      </c>
      <c r="D4" s="8" t="n">
        <v>50</v>
      </c>
      <c r="E4" s="8" t="n">
        <v>5</v>
      </c>
      <c r="F4" s="8" t="n">
        <v>3</v>
      </c>
      <c r="G4" s="8" t="n">
        <v>7</v>
      </c>
      <c r="H4" s="8" t="n">
        <v>1</v>
      </c>
      <c r="I4" s="8" t="n">
        <v>1</v>
      </c>
      <c r="J4" s="8" t="s">
        <v>93</v>
      </c>
    </row>
    <row r="5" customFormat="false" ht="15" hidden="false" customHeight="false" outlineLevel="0" collapsed="false">
      <c r="A5" s="21" t="s">
        <v>94</v>
      </c>
      <c r="B5" s="6" t="n">
        <v>7000</v>
      </c>
      <c r="C5" s="8" t="n">
        <v>80</v>
      </c>
      <c r="D5" s="8" t="n">
        <v>50</v>
      </c>
      <c r="E5" s="8" t="n">
        <v>5</v>
      </c>
      <c r="F5" s="8" t="n">
        <v>3</v>
      </c>
      <c r="G5" s="8" t="n">
        <v>7</v>
      </c>
      <c r="H5" s="8" t="n">
        <v>1</v>
      </c>
      <c r="I5" s="8" t="n">
        <v>1</v>
      </c>
      <c r="J5" s="8" t="s">
        <v>93</v>
      </c>
    </row>
    <row r="6" customFormat="false" ht="15" hidden="false" customHeight="false" outlineLevel="0" collapsed="false">
      <c r="A6" s="21" t="s">
        <v>95</v>
      </c>
      <c r="B6" s="6" t="n">
        <v>11000</v>
      </c>
      <c r="C6" s="8" t="n">
        <v>50</v>
      </c>
      <c r="D6" s="8" t="n">
        <v>50</v>
      </c>
      <c r="E6" s="8" t="n">
        <v>5</v>
      </c>
      <c r="F6" s="8" t="n">
        <v>3</v>
      </c>
      <c r="G6" s="8" t="n">
        <v>5</v>
      </c>
      <c r="H6" s="8" t="n">
        <v>1</v>
      </c>
      <c r="I6" s="8" t="n">
        <v>1</v>
      </c>
      <c r="J6" s="8" t="s">
        <v>96</v>
      </c>
    </row>
    <row r="7" customFormat="false" ht="15" hidden="false" customHeight="false" outlineLevel="0" collapsed="false">
      <c r="A7" s="21" t="s">
        <v>97</v>
      </c>
      <c r="B7" s="8" t="s">
        <v>98</v>
      </c>
      <c r="C7" s="8" t="n">
        <v>50</v>
      </c>
      <c r="D7" s="8" t="n">
        <v>30</v>
      </c>
      <c r="E7" s="8"/>
      <c r="F7" s="8" t="n">
        <v>3</v>
      </c>
      <c r="G7" s="8"/>
      <c r="H7" s="8" t="n">
        <v>2</v>
      </c>
      <c r="I7" s="8" t="n">
        <v>1</v>
      </c>
      <c r="J7" s="8"/>
    </row>
    <row r="8" customFormat="false" ht="15" hidden="false" customHeight="false" outlineLevel="0" collapsed="false">
      <c r="A8" s="21" t="s">
        <v>99</v>
      </c>
      <c r="B8" s="6" t="n">
        <v>7000</v>
      </c>
      <c r="C8" s="8" t="n">
        <v>80</v>
      </c>
      <c r="D8" s="8" t="n">
        <v>50</v>
      </c>
      <c r="E8" s="8" t="n">
        <v>5</v>
      </c>
      <c r="F8" s="8" t="n">
        <v>3</v>
      </c>
      <c r="G8" s="8" t="n">
        <v>9</v>
      </c>
      <c r="H8" s="8" t="n">
        <v>1</v>
      </c>
      <c r="I8" s="8" t="n">
        <v>1</v>
      </c>
      <c r="J8" s="8" t="s">
        <v>93</v>
      </c>
    </row>
    <row r="9" customFormat="false" ht="15" hidden="false" customHeight="false" outlineLevel="0" collapsed="false">
      <c r="A9" s="21" t="s">
        <v>100</v>
      </c>
      <c r="B9" s="6" t="n">
        <v>20000</v>
      </c>
      <c r="C9" s="8" t="n">
        <v>40</v>
      </c>
      <c r="D9" s="8" t="n">
        <v>50</v>
      </c>
      <c r="E9" s="8" t="n">
        <v>5</v>
      </c>
      <c r="F9" s="8" t="n">
        <v>3</v>
      </c>
      <c r="G9" s="8" t="n">
        <v>4</v>
      </c>
      <c r="H9" s="8" t="n">
        <v>1</v>
      </c>
      <c r="I9" s="8" t="n">
        <v>1</v>
      </c>
      <c r="J9" s="8" t="s">
        <v>93</v>
      </c>
    </row>
    <row r="10" customFormat="false" ht="15" hidden="false" customHeight="false" outlineLevel="0" collapsed="false">
      <c r="A10" s="21" t="s">
        <v>101</v>
      </c>
      <c r="B10" s="6" t="n">
        <v>15000</v>
      </c>
      <c r="C10" s="8" t="n">
        <v>55</v>
      </c>
      <c r="D10" s="8" t="n">
        <v>50</v>
      </c>
      <c r="E10" s="8" t="n">
        <v>5</v>
      </c>
      <c r="F10" s="8" t="n">
        <v>3</v>
      </c>
      <c r="G10" s="8" t="n">
        <v>5</v>
      </c>
      <c r="H10" s="8" t="n">
        <v>1</v>
      </c>
      <c r="I10" s="8" t="n">
        <v>1</v>
      </c>
      <c r="J10" s="8" t="s">
        <v>93</v>
      </c>
    </row>
    <row r="11" customFormat="false" ht="15" hidden="false" customHeight="false" outlineLevel="0" collapsed="false">
      <c r="A11" s="21" t="s">
        <v>102</v>
      </c>
      <c r="B11" s="6" t="n">
        <v>23000</v>
      </c>
      <c r="C11" s="8" t="n">
        <v>60</v>
      </c>
      <c r="D11" s="8" t="n">
        <v>50</v>
      </c>
      <c r="E11" s="8" t="n">
        <v>5</v>
      </c>
      <c r="F11" s="8" t="n">
        <v>3</v>
      </c>
      <c r="G11" s="8" t="n">
        <v>2</v>
      </c>
      <c r="H11" s="8" t="n">
        <v>1</v>
      </c>
      <c r="I11" s="8" t="n">
        <v>1</v>
      </c>
      <c r="J11" s="8" t="s">
        <v>93</v>
      </c>
    </row>
    <row r="12" customFormat="false" ht="15" hidden="false" customHeight="false" outlineLevel="0" collapsed="false">
      <c r="A12" s="12" t="s">
        <v>103</v>
      </c>
      <c r="B12" s="24" t="n">
        <f aca="false">AVERAGE(B4,B5,B6,B8,B9,B10,B11)</f>
        <v>14285.7142857143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7.7734375" defaultRowHeight="15" zeroHeight="false" outlineLevelRow="0" outlineLevelCol="0"/>
  <cols>
    <col collapsed="false" customWidth="true" hidden="false" outlineLevel="0" max="1" min="1" style="0" width="14.56"/>
    <col collapsed="false" customWidth="true" hidden="false" outlineLevel="0" max="3" min="2" style="0" width="10.92"/>
    <col collapsed="false" customWidth="true" hidden="false" outlineLevel="0" max="5" min="4" style="0" width="9.1"/>
    <col collapsed="false" customWidth="true" hidden="false" outlineLevel="0" max="6" min="6" style="0" width="7.28"/>
    <col collapsed="false" customWidth="true" hidden="false" outlineLevel="0" max="7" min="7" style="0" width="9.1"/>
  </cols>
  <sheetData>
    <row r="1" customFormat="false" ht="15" hidden="false" customHeight="false" outlineLevel="0" collapsed="false">
      <c r="A1" s="1" t="s">
        <v>104</v>
      </c>
    </row>
    <row r="3" customFormat="false" ht="15" hidden="false" customHeight="false" outlineLevel="0" collapsed="false">
      <c r="A3" s="20" t="s">
        <v>105</v>
      </c>
      <c r="B3" s="20" t="s">
        <v>106</v>
      </c>
      <c r="C3" s="20" t="s">
        <v>107</v>
      </c>
      <c r="D3" s="20" t="s">
        <v>89</v>
      </c>
      <c r="E3" s="20" t="s">
        <v>108</v>
      </c>
      <c r="F3" s="20" t="s">
        <v>109</v>
      </c>
      <c r="G3" s="20" t="s">
        <v>110</v>
      </c>
    </row>
    <row r="4" customFormat="false" ht="15" hidden="false" customHeight="false" outlineLevel="0" collapsed="false">
      <c r="A4" s="21" t="s">
        <v>111</v>
      </c>
      <c r="B4" s="6" t="n">
        <v>8000</v>
      </c>
      <c r="C4" s="6" t="n">
        <v>1000</v>
      </c>
      <c r="D4" s="8" t="n">
        <v>1</v>
      </c>
      <c r="E4" s="8" t="n">
        <v>1</v>
      </c>
      <c r="F4" s="8" t="n">
        <v>2</v>
      </c>
      <c r="G4" s="8" t="n">
        <v>0</v>
      </c>
    </row>
    <row r="5" customFormat="false" ht="15" hidden="false" customHeight="false" outlineLevel="0" collapsed="false">
      <c r="A5" s="21" t="s">
        <v>112</v>
      </c>
      <c r="B5" s="6" t="n">
        <v>12000</v>
      </c>
      <c r="C5" s="6" t="n">
        <v>2500</v>
      </c>
      <c r="D5" s="8" t="n">
        <v>1.5</v>
      </c>
      <c r="E5" s="8" t="n">
        <v>1.5</v>
      </c>
      <c r="F5" s="8" t="n">
        <v>4</v>
      </c>
      <c r="G5" s="8" t="n">
        <v>0</v>
      </c>
    </row>
    <row r="6" customFormat="false" ht="15" hidden="false" customHeight="false" outlineLevel="0" collapsed="false">
      <c r="A6" s="21" t="s">
        <v>113</v>
      </c>
      <c r="B6" s="6" t="n">
        <v>16000</v>
      </c>
      <c r="C6" s="6" t="n">
        <v>5000</v>
      </c>
      <c r="D6" s="8" t="n">
        <v>2</v>
      </c>
      <c r="E6" s="8" t="n">
        <v>2</v>
      </c>
      <c r="F6" s="8" t="n">
        <v>6</v>
      </c>
      <c r="G6" s="8" t="n">
        <v>0</v>
      </c>
    </row>
    <row r="7" customFormat="false" ht="15" hidden="false" customHeight="false" outlineLevel="0" collapsed="false">
      <c r="A7" s="21" t="s">
        <v>114</v>
      </c>
      <c r="B7" s="6" t="n">
        <v>10000</v>
      </c>
      <c r="C7" s="6" t="n">
        <v>1200</v>
      </c>
      <c r="D7" s="8" t="n">
        <v>1.1</v>
      </c>
      <c r="E7" s="8" t="n">
        <v>1</v>
      </c>
      <c r="F7" s="8" t="n">
        <v>3</v>
      </c>
      <c r="G7" s="8" t="n">
        <v>0</v>
      </c>
    </row>
    <row r="8" customFormat="false" ht="15" hidden="false" customHeight="false" outlineLevel="0" collapsed="false">
      <c r="A8" s="21" t="s">
        <v>115</v>
      </c>
      <c r="B8" s="6" t="n">
        <v>15000</v>
      </c>
      <c r="C8" s="6" t="n">
        <v>3000</v>
      </c>
      <c r="D8" s="8" t="n">
        <v>1.7</v>
      </c>
      <c r="E8" s="8" t="n">
        <v>1.3</v>
      </c>
      <c r="F8" s="8" t="n">
        <v>7</v>
      </c>
      <c r="G8" s="8" t="n">
        <v>0</v>
      </c>
    </row>
    <row r="9" customFormat="false" ht="15" hidden="false" customHeight="false" outlineLevel="0" collapsed="false">
      <c r="A9" s="21" t="s">
        <v>116</v>
      </c>
      <c r="B9" s="6" t="n">
        <v>20000</v>
      </c>
      <c r="C9" s="6" t="n">
        <v>5500</v>
      </c>
      <c r="D9" s="8" t="n">
        <v>2.5</v>
      </c>
      <c r="E9" s="8" t="n">
        <v>1.6</v>
      </c>
      <c r="F9" s="8" t="n">
        <v>10</v>
      </c>
      <c r="G9" s="8" t="n">
        <v>0</v>
      </c>
    </row>
    <row r="10" customFormat="false" ht="15" hidden="false" customHeight="false" outlineLevel="0" collapsed="false">
      <c r="A10" s="21" t="s">
        <v>117</v>
      </c>
      <c r="B10" s="6" t="n">
        <v>8000</v>
      </c>
      <c r="C10" s="6" t="n">
        <v>800</v>
      </c>
      <c r="D10" s="8" t="n">
        <v>1</v>
      </c>
      <c r="E10" s="8" t="n">
        <v>1</v>
      </c>
      <c r="F10" s="8" t="n">
        <v>1</v>
      </c>
      <c r="G10" s="8" t="n">
        <v>30</v>
      </c>
    </row>
    <row r="11" customFormat="false" ht="15" hidden="false" customHeight="false" outlineLevel="0" collapsed="false">
      <c r="A11" s="21" t="s">
        <v>118</v>
      </c>
      <c r="B11" s="6" t="n">
        <v>12000</v>
      </c>
      <c r="C11" s="6" t="n">
        <v>2000</v>
      </c>
      <c r="D11" s="8" t="n">
        <v>1.5</v>
      </c>
      <c r="E11" s="8" t="n">
        <v>1.3</v>
      </c>
      <c r="F11" s="8" t="n">
        <v>2</v>
      </c>
      <c r="G11" s="8" t="n">
        <v>20</v>
      </c>
    </row>
    <row r="12" customFormat="false" ht="15" hidden="false" customHeight="false" outlineLevel="0" collapsed="false">
      <c r="A12" s="21" t="s">
        <v>119</v>
      </c>
      <c r="B12" s="6" t="n">
        <v>16000</v>
      </c>
      <c r="C12" s="6" t="n">
        <v>4000</v>
      </c>
      <c r="D12" s="8" t="n">
        <v>2</v>
      </c>
      <c r="E12" s="8" t="n">
        <v>1.6</v>
      </c>
      <c r="F12" s="8" t="n">
        <v>3</v>
      </c>
      <c r="G12" s="8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7.7734375" defaultRowHeight="15" zeroHeight="false" outlineLevelRow="0" outlineLevelCol="0"/>
  <cols>
    <col collapsed="false" customWidth="true" hidden="false" outlineLevel="0" max="1" min="1" style="0" width="16.38"/>
    <col collapsed="false" customWidth="true" hidden="false" outlineLevel="0" max="2" min="2" style="0" width="8.19"/>
    <col collapsed="false" customWidth="true" hidden="false" outlineLevel="0" max="3" min="3" style="0" width="10.92"/>
    <col collapsed="false" customWidth="true" hidden="false" outlineLevel="0" max="4" min="4" style="0" width="12.74"/>
    <col collapsed="false" customWidth="true" hidden="false" outlineLevel="0" max="5" min="5" style="0" width="10.92"/>
  </cols>
  <sheetData>
    <row r="1" customFormat="false" ht="15" hidden="false" customHeight="false" outlineLevel="0" collapsed="false">
      <c r="A1" s="1" t="s">
        <v>120</v>
      </c>
    </row>
    <row r="2" customFormat="false" ht="15" hidden="false" customHeight="false" outlineLevel="0" collapsed="false">
      <c r="A2" s="2" t="s">
        <v>121</v>
      </c>
    </row>
    <row r="3" customFormat="false" ht="15" hidden="false" customHeight="false" outlineLevel="0" collapsed="false">
      <c r="A3" s="20" t="s">
        <v>122</v>
      </c>
      <c r="B3" s="20" t="s">
        <v>123</v>
      </c>
      <c r="C3" s="20" t="s">
        <v>124</v>
      </c>
      <c r="D3" s="20" t="s">
        <v>48</v>
      </c>
      <c r="E3" s="20" t="s">
        <v>125</v>
      </c>
    </row>
    <row r="4" customFormat="false" ht="15" hidden="false" customHeight="false" outlineLevel="0" collapsed="false">
      <c r="A4" s="21" t="s">
        <v>126</v>
      </c>
      <c r="B4" s="28" t="s">
        <v>127</v>
      </c>
      <c r="C4" s="6" t="n">
        <v>50000</v>
      </c>
      <c r="D4" s="6" t="n">
        <v>0</v>
      </c>
      <c r="E4" s="29" t="s">
        <v>127</v>
      </c>
    </row>
    <row r="5" customFormat="false" ht="15" hidden="false" customHeight="false" outlineLevel="0" collapsed="false">
      <c r="A5" s="21" t="s">
        <v>128</v>
      </c>
      <c r="B5" s="28" t="s">
        <v>127</v>
      </c>
      <c r="C5" s="6" t="n">
        <v>35000</v>
      </c>
      <c r="D5" s="6" t="n">
        <v>0</v>
      </c>
      <c r="E5" s="29" t="s">
        <v>127</v>
      </c>
    </row>
    <row r="6" customFormat="false" ht="15" hidden="false" customHeight="false" outlineLevel="0" collapsed="false">
      <c r="A6" s="21" t="s">
        <v>129</v>
      </c>
      <c r="B6" s="28" t="s">
        <v>127</v>
      </c>
      <c r="C6" s="6" t="n">
        <v>100000</v>
      </c>
      <c r="D6" s="6" t="n">
        <v>3000</v>
      </c>
      <c r="E6" s="29" t="s">
        <v>127</v>
      </c>
    </row>
    <row r="7" customFormat="false" ht="15" hidden="false" customHeight="false" outlineLevel="0" collapsed="false">
      <c r="A7" s="21" t="s">
        <v>130</v>
      </c>
      <c r="B7" s="28" t="s">
        <v>127</v>
      </c>
      <c r="C7" s="6" t="n">
        <v>40000</v>
      </c>
      <c r="D7" s="6" t="n">
        <v>0</v>
      </c>
      <c r="E7" s="29" t="s">
        <v>127</v>
      </c>
    </row>
    <row r="8" customFormat="false" ht="15" hidden="false" customHeight="false" outlineLevel="0" collapsed="false">
      <c r="A8" s="21" t="s">
        <v>52</v>
      </c>
      <c r="B8" s="28" t="n">
        <v>6</v>
      </c>
      <c r="C8" s="6" t="n">
        <v>50000</v>
      </c>
      <c r="D8" s="6" t="n">
        <v>1000</v>
      </c>
      <c r="E8" s="8" t="n">
        <v>10</v>
      </c>
    </row>
    <row r="9" customFormat="false" ht="15" hidden="false" customHeight="false" outlineLevel="0" collapsed="false">
      <c r="A9" s="21" t="s">
        <v>76</v>
      </c>
      <c r="B9" s="28" t="n">
        <v>7</v>
      </c>
      <c r="C9" s="6" t="n">
        <v>80000</v>
      </c>
      <c r="D9" s="6" t="n">
        <v>1300</v>
      </c>
      <c r="E9" s="8" t="n">
        <v>12</v>
      </c>
    </row>
    <row r="10" customFormat="false" ht="15" hidden="false" customHeight="false" outlineLevel="0" collapsed="false">
      <c r="A10" s="21" t="s">
        <v>62</v>
      </c>
      <c r="B10" s="28" t="n">
        <v>6</v>
      </c>
      <c r="C10" s="6" t="n">
        <v>20000</v>
      </c>
      <c r="D10" s="6" t="n">
        <v>700</v>
      </c>
      <c r="E10" s="8" t="n">
        <v>8</v>
      </c>
    </row>
    <row r="11" customFormat="false" ht="15" hidden="false" customHeight="false" outlineLevel="0" collapsed="false">
      <c r="A11" s="21" t="s">
        <v>50</v>
      </c>
      <c r="B11" s="28" t="n">
        <v>0</v>
      </c>
      <c r="C11" s="6" t="n">
        <v>10000</v>
      </c>
      <c r="D11" s="6" t="n">
        <v>50</v>
      </c>
      <c r="E11" s="8" t="n">
        <v>5</v>
      </c>
    </row>
    <row r="12" customFormat="false" ht="15" hidden="false" customHeight="false" outlineLevel="0" collapsed="false">
      <c r="A12" s="21" t="s">
        <v>68</v>
      </c>
      <c r="B12" s="28" t="n">
        <v>4</v>
      </c>
      <c r="C12" s="6" t="n">
        <v>50000</v>
      </c>
      <c r="D12" s="6" t="n">
        <v>1100</v>
      </c>
      <c r="E12" s="8" t="n">
        <v>5</v>
      </c>
    </row>
    <row r="13" customFormat="false" ht="15" hidden="false" customHeight="false" outlineLevel="0" collapsed="false">
      <c r="A13" s="21" t="s">
        <v>55</v>
      </c>
      <c r="B13" s="28" t="n">
        <v>5</v>
      </c>
      <c r="C13" s="6" t="n">
        <v>50000</v>
      </c>
      <c r="D13" s="6" t="n">
        <v>1000</v>
      </c>
      <c r="E13" s="8" t="n">
        <v>8</v>
      </c>
    </row>
    <row r="14" customFormat="false" ht="15" hidden="false" customHeight="false" outlineLevel="0" collapsed="false">
      <c r="A14" s="21" t="s">
        <v>131</v>
      </c>
      <c r="B14" s="28" t="s">
        <v>127</v>
      </c>
      <c r="C14" s="6" t="n">
        <v>50000</v>
      </c>
      <c r="D14" s="6" t="n">
        <v>0</v>
      </c>
      <c r="E14" s="29" t="s">
        <v>127</v>
      </c>
    </row>
    <row r="15" customFormat="false" ht="15" hidden="false" customHeight="false" outlineLevel="0" collapsed="false">
      <c r="A15" s="21" t="s">
        <v>132</v>
      </c>
      <c r="B15" s="28" t="s">
        <v>127</v>
      </c>
      <c r="C15" s="6" t="n">
        <v>30000</v>
      </c>
      <c r="D15" s="6" t="n">
        <v>0</v>
      </c>
      <c r="E15" s="29" t="s">
        <v>127</v>
      </c>
    </row>
    <row r="16" customFormat="false" ht="15" hidden="false" customHeight="false" outlineLevel="0" collapsed="false">
      <c r="A16" s="21" t="s">
        <v>133</v>
      </c>
      <c r="B16" s="28" t="s">
        <v>127</v>
      </c>
      <c r="C16" s="6" t="n">
        <v>50000</v>
      </c>
      <c r="D16" s="6" t="n">
        <v>0</v>
      </c>
      <c r="E16" s="29" t="s">
        <v>127</v>
      </c>
    </row>
    <row r="17" customFormat="false" ht="15" hidden="false" customHeight="false" outlineLevel="0" collapsed="false">
      <c r="A17" s="21" t="s">
        <v>134</v>
      </c>
      <c r="B17" s="28" t="s">
        <v>127</v>
      </c>
      <c r="C17" s="6" t="n">
        <v>70000</v>
      </c>
      <c r="D17" s="6" t="n">
        <v>0</v>
      </c>
      <c r="E17" s="29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7.7734375" defaultRowHeight="15" zeroHeight="false" outlineLevelRow="0" outlineLevelCol="0"/>
  <cols>
    <col collapsed="false" customWidth="true" hidden="false" outlineLevel="0" max="1" min="1" style="0" width="18.2"/>
    <col collapsed="false" customWidth="true" hidden="false" outlineLevel="0" max="2" min="2" style="0" width="10.92"/>
    <col collapsed="false" customWidth="true" hidden="false" outlineLevel="0" max="3" min="3" style="0" width="20.01"/>
  </cols>
  <sheetData>
    <row r="1" customFormat="false" ht="15" hidden="false" customHeight="false" outlineLevel="0" collapsed="false">
      <c r="A1" s="1" t="s">
        <v>135</v>
      </c>
    </row>
    <row r="3" customFormat="false" ht="15" hidden="false" customHeight="false" outlineLevel="0" collapsed="false">
      <c r="A3" s="20" t="s">
        <v>136</v>
      </c>
      <c r="B3" s="20" t="s">
        <v>137</v>
      </c>
      <c r="C3" s="20" t="s">
        <v>138</v>
      </c>
    </row>
    <row r="4" customFormat="false" ht="15" hidden="false" customHeight="false" outlineLevel="0" collapsed="false">
      <c r="A4" s="21" t="s">
        <v>139</v>
      </c>
      <c r="B4" s="6" t="n">
        <v>150000</v>
      </c>
      <c r="C4" s="30" t="s">
        <v>140</v>
      </c>
    </row>
    <row r="5" customFormat="false" ht="15" hidden="false" customHeight="false" outlineLevel="0" collapsed="false">
      <c r="A5" s="21" t="s">
        <v>141</v>
      </c>
      <c r="B5" s="6" t="n">
        <v>250000</v>
      </c>
      <c r="C5" s="30" t="s">
        <v>142</v>
      </c>
    </row>
    <row r="6" customFormat="false" ht="15" hidden="false" customHeight="false" outlineLevel="0" collapsed="false">
      <c r="A6" s="21" t="s">
        <v>143</v>
      </c>
      <c r="B6" s="6" t="n">
        <v>400000</v>
      </c>
      <c r="C6" s="30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7.7734375" defaultRowHeight="15" zeroHeight="false" outlineLevelRow="0" outlineLevelCol="0"/>
  <cols>
    <col collapsed="false" customWidth="true" hidden="false" outlineLevel="0" max="1" min="1" style="0" width="10.92"/>
    <col collapsed="false" customWidth="true" hidden="false" outlineLevel="0" max="2" min="2" style="0" width="7.28"/>
    <col collapsed="false" customWidth="true" hidden="false" outlineLevel="0" max="3" min="3" style="0" width="9.1"/>
    <col collapsed="false" customWidth="true" hidden="false" outlineLevel="0" max="4" min="4" style="0" width="8.19"/>
    <col collapsed="false" customWidth="true" hidden="false" outlineLevel="0" max="5" min="5" style="0" width="14.56"/>
  </cols>
  <sheetData>
    <row r="1" customFormat="false" ht="15" hidden="false" customHeight="false" outlineLevel="0" collapsed="false">
      <c r="A1" s="1" t="s">
        <v>145</v>
      </c>
    </row>
    <row r="3" customFormat="false" ht="15" hidden="false" customHeight="false" outlineLevel="0" collapsed="false">
      <c r="A3" s="20" t="s">
        <v>146</v>
      </c>
      <c r="B3" s="27" t="s">
        <v>147</v>
      </c>
      <c r="C3" s="20" t="s">
        <v>148</v>
      </c>
      <c r="D3" s="20" t="s">
        <v>149</v>
      </c>
      <c r="E3" s="20" t="s">
        <v>138</v>
      </c>
    </row>
    <row r="4" customFormat="false" ht="15" hidden="false" customHeight="false" outlineLevel="0" collapsed="false">
      <c r="A4" s="21" t="s">
        <v>150</v>
      </c>
      <c r="B4" s="8" t="n">
        <v>0.7</v>
      </c>
      <c r="C4" s="6" t="n">
        <v>250</v>
      </c>
      <c r="D4" s="8" t="n">
        <v>2</v>
      </c>
      <c r="E4" s="31" t="s">
        <v>151</v>
      </c>
    </row>
    <row r="5" customFormat="false" ht="15" hidden="false" customHeight="false" outlineLevel="0" collapsed="false">
      <c r="A5" s="21" t="s">
        <v>152</v>
      </c>
      <c r="B5" s="8" t="n">
        <v>1.8</v>
      </c>
      <c r="C5" s="6" t="n">
        <v>750</v>
      </c>
      <c r="D5" s="8" t="n">
        <v>3</v>
      </c>
      <c r="E5" s="30" t="s">
        <v>153</v>
      </c>
    </row>
    <row r="6" customFormat="false" ht="15" hidden="false" customHeight="false" outlineLevel="0" collapsed="false">
      <c r="A6" s="21" t="s">
        <v>154</v>
      </c>
      <c r="B6" s="8" t="n">
        <v>4</v>
      </c>
      <c r="C6" s="6" t="n">
        <v>1500</v>
      </c>
      <c r="D6" s="8" t="n">
        <v>4</v>
      </c>
      <c r="E6" s="30" t="s">
        <v>155</v>
      </c>
    </row>
    <row r="8" customFormat="false" ht="15" hidden="false" customHeight="false" outlineLevel="0" collapsed="false">
      <c r="A8" s="2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</TotalTime>
  <Application>PPT_Plus/1.0.0.0$Windows_X86_64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2026-06-04T03:10:46Z</dcterms:created>
  <dc:creator>openpyxl</dc:creator>
  <dc:description/>
  <dc:language>ko-KR</dc:language>
  <cp:lastModifiedBy/>
  <dcterms:modified xsi:type="dcterms:W3CDTF">2026-06-04T14:30:52Z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