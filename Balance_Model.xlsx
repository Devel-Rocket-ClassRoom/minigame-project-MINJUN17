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모델" sheetId="1" state="visible" r:id="rId1"/>
    <sheet name="메뉴" sheetId="2" state="visible" r:id="rId2"/>
    <sheet name="손님" sheetId="3" state="visible" r:id="rId3"/>
    <sheet name="직원" sheetId="4" state="visible" r:id="rId4"/>
    <sheet name="가구" sheetId="5" state="visible" r:id="rId5"/>
    <sheet name="성장게이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2">
    <font>
      <name val="Calibri"/>
      <family val="2"/>
      <color theme="1"/>
      <sz val="11"/>
      <scheme val="minor"/>
    </font>
    <font>
      <name val="Arial"/>
      <b val="1"/>
      <color rgb="00305496"/>
      <sz val="14"/>
    </font>
    <font>
      <name val="Arial"/>
      <b val="1"/>
      <color rgb="00FFFFFF"/>
      <sz val="11"/>
    </font>
    <font>
      <name val="Arial"/>
    </font>
    <font>
      <name val="Arial"/>
      <b val="1"/>
    </font>
    <font>
      <name val="Arial"/>
      <i val="1"/>
      <color rgb="00808080"/>
      <sz val="9"/>
    </font>
    <font>
      <name val="Arial"/>
      <color rgb="000000FF"/>
    </font>
    <font>
      <name val="Arial"/>
      <color rgb="00808080"/>
      <sz val="9"/>
    </font>
    <font>
      <name val="Arial"/>
      <color rgb="00000000"/>
    </font>
    <font>
      <name val="Arial"/>
      <b val="1"/>
      <color rgb="00000000"/>
    </font>
    <font>
      <name val="Arial"/>
      <color rgb="00008000"/>
    </font>
    <font>
      <name val="Arial"/>
      <b val="1"/>
      <color rgb="00C00000"/>
      <sz val="12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0" borderId="0" applyAlignment="1" pivotButton="0" quotePrefix="0" xfId="0">
      <alignment horizontal="left"/>
    </xf>
    <xf numFmtId="3" fontId="6" fillId="3" borderId="1" pivotButton="0" quotePrefix="0" xfId="0"/>
    <xf numFmtId="0" fontId="7" fillId="0" borderId="0" pivotButton="0" quotePrefix="0" xfId="0"/>
    <xf numFmtId="0" fontId="6" fillId="3" borderId="1" pivotButton="0" quotePrefix="0" xfId="0"/>
    <xf numFmtId="2" fontId="6" fillId="3" borderId="1" pivotButton="0" quotePrefix="0" xfId="0"/>
    <xf numFmtId="165" fontId="8" fillId="0" borderId="1" pivotButton="0" quotePrefix="0" xfId="0"/>
    <xf numFmtId="0" fontId="4" fillId="0" borderId="0" applyAlignment="1" pivotButton="0" quotePrefix="0" xfId="0">
      <alignment horizontal="left"/>
    </xf>
    <xf numFmtId="165" fontId="9" fillId="0" borderId="1" pivotButton="0" quotePrefix="0" xfId="0"/>
    <xf numFmtId="3" fontId="10" fillId="0" borderId="1" pivotButton="0" quotePrefix="0" xfId="0"/>
    <xf numFmtId="164" fontId="10" fillId="0" borderId="1" pivotButton="0" quotePrefix="0" xfId="0"/>
    <xf numFmtId="3" fontId="8" fillId="0" borderId="1" pivotButton="0" quotePrefix="0" xfId="0"/>
    <xf numFmtId="3" fontId="9" fillId="0" borderId="1" pivotButton="0" quotePrefix="0" xfId="0"/>
    <xf numFmtId="3" fontId="11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0" fontId="2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</cols>
  <sheetData>
    <row r="1">
      <c r="A1" s="1" t="inlineStr">
        <is>
          <t>💰 하루 순이익 모델</t>
        </is>
      </c>
    </row>
    <row r="2">
      <c r="A2" s="2" t="inlineStr">
        <is>
          <t>노랑칸(파란글씨)만 바꾸면 전부 자동 계산됩니다</t>
        </is>
      </c>
    </row>
    <row r="4">
      <c r="A4" s="3" t="inlineStr">
        <is>
          <t>입력 (가정)</t>
        </is>
      </c>
      <c r="B4" s="4" t="inlineStr">
        <is>
          <t> </t>
        </is>
      </c>
      <c r="C4" s="4" t="inlineStr">
        <is>
          <t> </t>
        </is>
      </c>
    </row>
    <row r="5">
      <c r="A5" s="5" t="inlineStr">
        <is>
          <t>영업시간 (초/일)</t>
        </is>
      </c>
      <c r="B5" s="6" t="n">
        <v>240</v>
      </c>
      <c r="C5" s="7" t="inlineStr">
        <is>
          <t>(24-8)시 × 15초/시간</t>
        </is>
      </c>
    </row>
    <row r="6">
      <c r="A6" s="5" t="inlineStr">
        <is>
          <t>평균 스폰간격 (초)</t>
        </is>
      </c>
      <c r="B6" s="8" t="n">
        <v>20</v>
      </c>
      <c r="C6" s="7" t="inlineStr">
        <is>
          <t>(min10+max30)/2</t>
        </is>
      </c>
    </row>
    <row r="7">
      <c r="A7" s="5" t="inlineStr">
        <is>
          <t>마케팅 배수</t>
        </is>
      </c>
      <c r="B7" s="9" t="n">
        <v>1</v>
      </c>
      <c r="C7" s="7" t="inlineStr">
        <is>
          <t>마케팅 0개=1.0, 3개=약1.64</t>
        </is>
      </c>
    </row>
    <row r="8">
      <c r="A8" s="5" t="inlineStr">
        <is>
          <t>좌석 수</t>
        </is>
      </c>
      <c r="B8" s="8" t="n">
        <v>3</v>
      </c>
      <c r="C8" s="7" t="inlineStr">
        <is>
          <t>동시 수용 손님 수</t>
        </is>
      </c>
    </row>
    <row r="9">
      <c r="A9" s="5" t="inlineStr">
        <is>
          <t>손님 1명 평균 점유시간 (초)</t>
        </is>
      </c>
      <c r="B9" s="8" t="n">
        <v>30</v>
      </c>
      <c r="C9" s="7" t="inlineStr">
        <is>
          <t>주문+조리+식사+퇴장</t>
        </is>
      </c>
    </row>
    <row r="10">
      <c r="A10" s="5" t="inlineStr">
        <is>
          <t>하루 인건비 합계 (₩)</t>
        </is>
      </c>
      <c r="B10" s="6" t="n">
        <v>1900</v>
      </c>
      <c r="C10" s="7" t="inlineStr">
        <is>
          <t>현재 고용 직원 월급 합 (1달=1일)</t>
        </is>
      </c>
    </row>
    <row r="12">
      <c r="A12" s="3" t="inlineStr">
        <is>
          <t>계산</t>
        </is>
      </c>
      <c r="B12" s="4" t="inlineStr">
        <is>
          <t> </t>
        </is>
      </c>
      <c r="C12" s="4" t="inlineStr">
        <is>
          <t> </t>
        </is>
      </c>
    </row>
    <row r="13">
      <c r="A13" s="5" t="inlineStr">
        <is>
          <t>유효 스폰간격 (초)</t>
        </is>
      </c>
      <c r="B13" s="10">
        <f>B6/B7</f>
        <v/>
      </c>
      <c r="C13" s="7" t="inlineStr">
        <is>
          <t>스폰간격 ÷ 마케팅배수</t>
        </is>
      </c>
    </row>
    <row r="14">
      <c r="A14" s="5" t="inlineStr">
        <is>
          <t>이론상 손님/일</t>
        </is>
      </c>
      <c r="B14" s="10">
        <f>B5/B13</f>
        <v/>
      </c>
      <c r="C14" s="7" t="inlineStr">
        <is>
          <t>좌석 무제한 가정</t>
        </is>
      </c>
    </row>
    <row r="15">
      <c r="A15" s="5" t="inlineStr">
        <is>
          <t>처리한계 손님/일</t>
        </is>
      </c>
      <c r="B15" s="10">
        <f>B8*B5/B9</f>
        <v/>
      </c>
      <c r="C15" s="7" t="inlineStr">
        <is>
          <t>좌석×영업시간 ÷ 점유시간</t>
        </is>
      </c>
    </row>
    <row r="16">
      <c r="A16" s="11" t="inlineStr">
        <is>
          <t>실제 손님/일</t>
        </is>
      </c>
      <c r="B16" s="12">
        <f>MIN(B14,B15)</f>
        <v/>
      </c>
      <c r="C16" s="7" t="inlineStr">
        <is>
          <t>둘 중 작은 값(병목)</t>
        </is>
      </c>
    </row>
    <row r="17">
      <c r="A17" s="5" t="inlineStr">
        <is>
          <t>평균 지갑 (매장)</t>
        </is>
      </c>
      <c r="B17" s="13">
        <f>손님!B12</f>
        <v/>
      </c>
      <c r="C17" s="7" t="inlineStr">
        <is>
          <t>← 손님 시트</t>
        </is>
      </c>
    </row>
    <row r="18">
      <c r="A18" s="5" t="inlineStr">
        <is>
          <t>평균 마진율</t>
        </is>
      </c>
      <c r="B18" s="14">
        <f>메뉴!E29</f>
        <v/>
      </c>
      <c r="C18" s="7" t="inlineStr">
        <is>
          <t>← 메뉴 시트</t>
        </is>
      </c>
    </row>
    <row r="19">
      <c r="A19" s="5" t="inlineStr">
        <is>
          <t>손님당 순이익 (₩)</t>
        </is>
      </c>
      <c r="B19" s="15">
        <f>B17*B18</f>
        <v/>
      </c>
      <c r="C19" s="7" t="inlineStr">
        <is>
          <t>지갑 전액 결제 가정</t>
        </is>
      </c>
    </row>
    <row r="20">
      <c r="A20" s="11" t="inlineStr">
        <is>
          <t>하루 총이익 (₩)</t>
        </is>
      </c>
      <c r="B20" s="16">
        <f>B16*B19</f>
        <v/>
      </c>
    </row>
    <row r="21">
      <c r="A21" s="5" t="inlineStr">
        <is>
          <t>하루 인건비 (₩)</t>
        </is>
      </c>
      <c r="B21" s="15">
        <f>B10</f>
        <v/>
      </c>
      <c r="C21" s="7" t="inlineStr">
        <is>
          <t>입력값</t>
        </is>
      </c>
    </row>
    <row r="22">
      <c r="A22" s="11" t="inlineStr">
        <is>
          <t>하루 순이익 (₩)</t>
        </is>
      </c>
      <c r="B22" s="17">
        <f>B20-B21</f>
        <v/>
      </c>
    </row>
    <row r="24">
      <c r="A24" s="3" t="inlineStr">
        <is>
          <t>성장 게이트까지 걸리는 일수</t>
        </is>
      </c>
      <c r="B24" s="4" t="inlineStr">
        <is>
          <t> </t>
        </is>
      </c>
      <c r="C24" s="4" t="inlineStr">
        <is>
          <t> </t>
        </is>
      </c>
    </row>
    <row r="25">
      <c r="A25" s="5" t="inlineStr">
        <is>
          <t>DT 해금</t>
        </is>
      </c>
      <c r="B25" s="10">
        <f>IF($B$22&lt;=0,"적자",성장게이트!B4/$B$22)</f>
        <v/>
      </c>
      <c r="C25" s="7" t="inlineStr">
        <is>
          <t>비용 ÷ 하루순이익</t>
        </is>
      </c>
    </row>
    <row r="26">
      <c r="A26" s="5" t="inlineStr">
        <is>
          <t>2층 해금</t>
        </is>
      </c>
      <c r="B26" s="10">
        <f>IF($B$22&lt;=0,"적자",성장게이트!B5/$B$22)</f>
        <v/>
      </c>
    </row>
    <row r="27">
      <c r="A27" s="5" t="inlineStr">
        <is>
          <t>화장실 해금</t>
        </is>
      </c>
      <c r="B27" s="10">
        <f>IF($B$22&lt;=0,"적자",성장게이트!B6/$B$22)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0" customWidth="1" min="5" max="5"/>
    <col width="12" customWidth="1" min="6" max="6"/>
    <col width="14" customWidth="1" min="7" max="7"/>
  </cols>
  <sheetData>
    <row r="1">
      <c r="A1" s="1" t="inlineStr">
        <is>
          <t>메뉴 (수익원)</t>
        </is>
      </c>
    </row>
    <row r="3">
      <c r="A3" s="18" t="inlineStr">
        <is>
          <t>메뉴</t>
        </is>
      </c>
      <c r="B3" s="18" t="inlineStr">
        <is>
          <t>가격(₩)</t>
        </is>
      </c>
      <c r="C3" s="18" t="inlineStr">
        <is>
          <t>원가(₩)</t>
        </is>
      </c>
      <c r="D3" s="18" t="inlineStr">
        <is>
          <t>마진(₩)</t>
        </is>
      </c>
      <c r="E3" s="18" t="inlineStr">
        <is>
          <t>마진율</t>
        </is>
      </c>
      <c r="F3" s="18" t="inlineStr">
        <is>
          <t>수요weight</t>
        </is>
      </c>
      <c r="G3" s="18" t="inlineStr">
        <is>
          <t>해금비(만족도)</t>
        </is>
      </c>
    </row>
    <row r="4">
      <c r="A4" s="19" t="inlineStr">
        <is>
          <t>Bacon</t>
        </is>
      </c>
      <c r="B4" s="20" t="n">
        <v>3000</v>
      </c>
      <c r="C4" s="20" t="n">
        <v>1000</v>
      </c>
      <c r="D4" s="20">
        <f>B4-C4</f>
        <v/>
      </c>
      <c r="E4" s="21">
        <f>IF(B4=0,0,D4/B4)</f>
        <v/>
      </c>
      <c r="F4" s="22" t="n">
        <v>0.5</v>
      </c>
      <c r="G4" s="20" t="n">
        <v>500</v>
      </c>
    </row>
    <row r="5">
      <c r="A5" s="19" t="inlineStr">
        <is>
          <t>Bread</t>
        </is>
      </c>
      <c r="B5" s="20" t="n">
        <v>2000</v>
      </c>
      <c r="C5" s="20" t="n">
        <v>500</v>
      </c>
      <c r="D5" s="20">
        <f>B5-C5</f>
        <v/>
      </c>
      <c r="E5" s="21">
        <f>IF(B5=0,0,D5/B5)</f>
        <v/>
      </c>
      <c r="F5" s="22" t="n">
        <v>0.5</v>
      </c>
      <c r="G5" s="20" t="n">
        <v>500</v>
      </c>
    </row>
    <row r="6">
      <c r="A6" s="19" t="inlineStr">
        <is>
          <t>Burger</t>
        </is>
      </c>
      <c r="B6" s="20" t="n">
        <v>5000</v>
      </c>
      <c r="C6" s="20" t="n">
        <v>2000</v>
      </c>
      <c r="D6" s="20">
        <f>B6-C6</f>
        <v/>
      </c>
      <c r="E6" s="21">
        <f>IF(B6=0,0,D6/B6)</f>
        <v/>
      </c>
      <c r="F6" s="22" t="n">
        <v>1</v>
      </c>
      <c r="G6" s="20" t="n">
        <v>800</v>
      </c>
    </row>
    <row r="7">
      <c r="A7" s="19" t="inlineStr">
        <is>
          <t>Burrito</t>
        </is>
      </c>
      <c r="B7" s="20" t="n">
        <v>7000</v>
      </c>
      <c r="C7" s="20" t="n">
        <v>2500</v>
      </c>
      <c r="D7" s="20">
        <f>B7-C7</f>
        <v/>
      </c>
      <c r="E7" s="21">
        <f>IF(B7=0,0,D7/B7)</f>
        <v/>
      </c>
      <c r="F7" s="22" t="n">
        <v>0.5</v>
      </c>
      <c r="G7" s="20" t="n">
        <v>1000</v>
      </c>
    </row>
    <row r="8">
      <c r="A8" s="19" t="inlineStr">
        <is>
          <t>CheeseCake</t>
        </is>
      </c>
      <c r="B8" s="20" t="n">
        <v>7000</v>
      </c>
      <c r="C8" s="20" t="n">
        <v>2000</v>
      </c>
      <c r="D8" s="20">
        <f>B8-C8</f>
        <v/>
      </c>
      <c r="E8" s="21">
        <f>IF(B8=0,0,D8/B8)</f>
        <v/>
      </c>
      <c r="F8" s="22" t="n">
        <v>0.5</v>
      </c>
      <c r="G8" s="20" t="n">
        <v>1000</v>
      </c>
    </row>
    <row r="9">
      <c r="A9" s="19" t="inlineStr">
        <is>
          <t>ChocolateCake</t>
        </is>
      </c>
      <c r="B9" s="20" t="n">
        <v>7000</v>
      </c>
      <c r="C9" s="20" t="n">
        <v>2000</v>
      </c>
      <c r="D9" s="20">
        <f>B9-C9</f>
        <v/>
      </c>
      <c r="E9" s="21">
        <f>IF(B9=0,0,D9/B9)</f>
        <v/>
      </c>
      <c r="F9" s="22" t="n">
        <v>0.5</v>
      </c>
      <c r="G9" s="20" t="n">
        <v>1000</v>
      </c>
    </row>
    <row r="10">
      <c r="A10" s="19" t="inlineStr">
        <is>
          <t>Cookies</t>
        </is>
      </c>
      <c r="B10" s="20" t="n">
        <v>3000</v>
      </c>
      <c r="C10" s="20" t="n">
        <v>500</v>
      </c>
      <c r="D10" s="20">
        <f>B10-C10</f>
        <v/>
      </c>
      <c r="E10" s="21">
        <f>IF(B10=0,0,D10/B10)</f>
        <v/>
      </c>
      <c r="F10" s="22" t="n">
        <v>0.5</v>
      </c>
      <c r="G10" s="20" t="n">
        <v>700</v>
      </c>
    </row>
    <row r="11">
      <c r="A11" s="19" t="inlineStr">
        <is>
          <t>Curry</t>
        </is>
      </c>
      <c r="B11" s="20" t="n">
        <v>9000</v>
      </c>
      <c r="C11" s="20" t="n">
        <v>3700</v>
      </c>
      <c r="D11" s="20">
        <f>B11-C11</f>
        <v/>
      </c>
      <c r="E11" s="21">
        <f>IF(B11=0,0,D11/B11)</f>
        <v/>
      </c>
      <c r="F11" s="22" t="n">
        <v>0.5</v>
      </c>
      <c r="G11" s="20" t="n">
        <v>1100</v>
      </c>
    </row>
    <row r="12">
      <c r="A12" s="19" t="inlineStr">
        <is>
          <t>Dumplings</t>
        </is>
      </c>
      <c r="B12" s="20" t="n">
        <v>6000</v>
      </c>
      <c r="C12" s="20" t="n">
        <v>1500</v>
      </c>
      <c r="D12" s="20">
        <f>B12-C12</f>
        <v/>
      </c>
      <c r="E12" s="21">
        <f>IF(B12=0,0,D12/B12)</f>
        <v/>
      </c>
      <c r="F12" s="22" t="n">
        <v>0.5</v>
      </c>
      <c r="G12" s="20" t="n">
        <v>800</v>
      </c>
    </row>
    <row r="13">
      <c r="A13" s="19" t="inlineStr">
        <is>
          <t>FrenchFries</t>
        </is>
      </c>
      <c r="B13" s="20" t="n">
        <v>4000</v>
      </c>
      <c r="C13" s="20" t="n">
        <v>1000</v>
      </c>
      <c r="D13" s="20">
        <f>B13-C13</f>
        <v/>
      </c>
      <c r="E13" s="21">
        <f>IF(B13=0,0,D13/B13)</f>
        <v/>
      </c>
      <c r="F13" s="22" t="n">
        <v>0.5</v>
      </c>
      <c r="G13" s="20" t="n">
        <v>700</v>
      </c>
    </row>
    <row r="14">
      <c r="A14" s="19" t="inlineStr">
        <is>
          <t>FriedEgg</t>
        </is>
      </c>
      <c r="B14" s="20" t="n">
        <v>1500</v>
      </c>
      <c r="C14" s="20" t="n">
        <v>300</v>
      </c>
      <c r="D14" s="20">
        <f>B14-C14</f>
        <v/>
      </c>
      <c r="E14" s="21">
        <f>IF(B14=0,0,D14/B14)</f>
        <v/>
      </c>
      <c r="F14" s="22" t="n">
        <v>0.5</v>
      </c>
      <c r="G14" s="20" t="n">
        <v>50</v>
      </c>
    </row>
    <row r="15">
      <c r="A15" s="19" t="inlineStr">
        <is>
          <t>FruitCake</t>
        </is>
      </c>
      <c r="B15" s="20" t="n">
        <v>7000</v>
      </c>
      <c r="C15" s="20" t="n">
        <v>2000</v>
      </c>
      <c r="D15" s="20">
        <f>B15-C15</f>
        <v/>
      </c>
      <c r="E15" s="21">
        <f>IF(B15=0,0,D15/B15)</f>
        <v/>
      </c>
      <c r="F15" s="22" t="n">
        <v>0.5</v>
      </c>
      <c r="G15" s="20" t="n">
        <v>1000</v>
      </c>
    </row>
    <row r="16">
      <c r="A16" s="19" t="inlineStr">
        <is>
          <t>GarlicBread</t>
        </is>
      </c>
      <c r="B16" s="20" t="n">
        <v>5000</v>
      </c>
      <c r="C16" s="20" t="n">
        <v>1500</v>
      </c>
      <c r="D16" s="20">
        <f>B16-C16</f>
        <v/>
      </c>
      <c r="E16" s="21">
        <f>IF(B16=0,0,D16/B16)</f>
        <v/>
      </c>
      <c r="F16" s="22" t="n">
        <v>0.5</v>
      </c>
      <c r="G16" s="20" t="n">
        <v>1000</v>
      </c>
    </row>
    <row r="17">
      <c r="A17" s="19" t="inlineStr">
        <is>
          <t>HotDog</t>
        </is>
      </c>
      <c r="B17" s="20" t="n">
        <v>4000</v>
      </c>
      <c r="C17" s="20" t="n">
        <v>1000</v>
      </c>
      <c r="D17" s="20">
        <f>B17-C17</f>
        <v/>
      </c>
      <c r="E17" s="21">
        <f>IF(B17=0,0,D17/B17)</f>
        <v/>
      </c>
      <c r="F17" s="22" t="n">
        <v>0.5</v>
      </c>
      <c r="G17" s="20" t="n">
        <v>700</v>
      </c>
    </row>
    <row r="18">
      <c r="A18" s="19" t="inlineStr">
        <is>
          <t>IceCream</t>
        </is>
      </c>
      <c r="B18" s="20" t="n">
        <v>3500</v>
      </c>
      <c r="C18" s="20" t="n">
        <v>500</v>
      </c>
      <c r="D18" s="20">
        <f>B18-C18</f>
        <v/>
      </c>
      <c r="E18" s="21">
        <f>IF(B18=0,0,D18/B18)</f>
        <v/>
      </c>
      <c r="F18" s="22" t="n">
        <v>0.5</v>
      </c>
      <c r="G18" s="20" t="n">
        <v>1300</v>
      </c>
    </row>
    <row r="19">
      <c r="A19" s="19" t="inlineStr">
        <is>
          <t>MeatBall</t>
        </is>
      </c>
      <c r="B19" s="20" t="n">
        <v>11000</v>
      </c>
      <c r="C19" s="20" t="n">
        <v>4000</v>
      </c>
      <c r="D19" s="20">
        <f>B19-C19</f>
        <v/>
      </c>
      <c r="E19" s="21">
        <f>IF(B19=0,0,D19/B19)</f>
        <v/>
      </c>
      <c r="F19" s="22" t="n">
        <v>0.5</v>
      </c>
      <c r="G19" s="20" t="n">
        <v>1200</v>
      </c>
    </row>
    <row r="20">
      <c r="A20" s="19" t="inlineStr">
        <is>
          <t>Omelet</t>
        </is>
      </c>
      <c r="B20" s="20" t="n">
        <v>6000</v>
      </c>
      <c r="C20" s="20" t="n">
        <v>1500</v>
      </c>
      <c r="D20" s="20">
        <f>B20-C20</f>
        <v/>
      </c>
      <c r="E20" s="21">
        <f>IF(B20=0,0,D20/B20)</f>
        <v/>
      </c>
      <c r="F20" s="22" t="n">
        <v>0.5</v>
      </c>
      <c r="G20" s="20" t="n">
        <v>1000</v>
      </c>
    </row>
    <row r="21">
      <c r="A21" s="19" t="inlineStr">
        <is>
          <t>Pizza</t>
        </is>
      </c>
      <c r="B21" s="20" t="n">
        <v>10000</v>
      </c>
      <c r="C21" s="20" t="n">
        <v>4000</v>
      </c>
      <c r="D21" s="20">
        <f>B21-C21</f>
        <v/>
      </c>
      <c r="E21" s="21">
        <f>IF(B21=0,0,D21/B21)</f>
        <v/>
      </c>
      <c r="F21" s="22" t="n">
        <v>0.5</v>
      </c>
      <c r="G21" s="20" t="n">
        <v>1200</v>
      </c>
    </row>
    <row r="22">
      <c r="A22" s="19" t="inlineStr">
        <is>
          <t>Pudding</t>
        </is>
      </c>
      <c r="B22" s="20" t="n">
        <v>6000</v>
      </c>
      <c r="C22" s="20" t="n">
        <v>1000</v>
      </c>
      <c r="D22" s="20">
        <f>B22-C22</f>
        <v/>
      </c>
      <c r="E22" s="21">
        <f>IF(B22=0,0,D22/B22)</f>
        <v/>
      </c>
      <c r="F22" s="22" t="n">
        <v>0.5</v>
      </c>
      <c r="G22" s="20" t="n">
        <v>1100</v>
      </c>
    </row>
    <row r="23">
      <c r="A23" s="19" t="inlineStr">
        <is>
          <t>RoastedChicken</t>
        </is>
      </c>
      <c r="B23" s="20" t="n">
        <v>10000</v>
      </c>
      <c r="C23" s="20" t="n">
        <v>4500</v>
      </c>
      <c r="D23" s="20">
        <f>B23-C23</f>
        <v/>
      </c>
      <c r="E23" s="21">
        <f>IF(B23=0,0,D23/B23)</f>
        <v/>
      </c>
      <c r="F23" s="22" t="n">
        <v>0.5</v>
      </c>
      <c r="G23" s="20" t="n">
        <v>1100</v>
      </c>
    </row>
    <row r="24">
      <c r="A24" s="19" t="inlineStr">
        <is>
          <t>Sandwich</t>
        </is>
      </c>
      <c r="B24" s="20" t="n">
        <v>3500</v>
      </c>
      <c r="C24" s="20" t="n">
        <v>800</v>
      </c>
      <c r="D24" s="20">
        <f>B24-C24</f>
        <v/>
      </c>
      <c r="E24" s="21">
        <f>IF(B24=0,0,D24/B24)</f>
        <v/>
      </c>
      <c r="F24" s="22" t="n">
        <v>0.5</v>
      </c>
      <c r="G24" s="20" t="n">
        <v>800</v>
      </c>
    </row>
    <row r="25">
      <c r="A25" s="19" t="inlineStr">
        <is>
          <t>Sushi</t>
        </is>
      </c>
      <c r="B25" s="20" t="n">
        <v>15000</v>
      </c>
      <c r="C25" s="20" t="n">
        <v>4500</v>
      </c>
      <c r="D25" s="20">
        <f>B25-C25</f>
        <v/>
      </c>
      <c r="E25" s="21">
        <f>IF(B25=0,0,D25/B25)</f>
        <v/>
      </c>
      <c r="F25" s="22" t="n">
        <v>0.5</v>
      </c>
      <c r="G25" s="20" t="n">
        <v>1500</v>
      </c>
    </row>
    <row r="26">
      <c r="A26" s="19" t="inlineStr">
        <is>
          <t>Taco</t>
        </is>
      </c>
      <c r="B26" s="20" t="n">
        <v>9000</v>
      </c>
      <c r="C26" s="20" t="n">
        <v>3000</v>
      </c>
      <c r="D26" s="20">
        <f>B26-C26</f>
        <v/>
      </c>
      <c r="E26" s="21">
        <f>IF(B26=0,0,D26/B26)</f>
        <v/>
      </c>
      <c r="F26" s="22" t="n">
        <v>0.5</v>
      </c>
      <c r="G26" s="20" t="n">
        <v>1000</v>
      </c>
    </row>
    <row r="27">
      <c r="A27" s="19" t="inlineStr">
        <is>
          <t>Waffle</t>
        </is>
      </c>
      <c r="B27" s="20" t="n">
        <v>5000</v>
      </c>
      <c r="C27" s="20" t="n">
        <v>1000</v>
      </c>
      <c r="D27" s="20">
        <f>B27-C27</f>
        <v/>
      </c>
      <c r="E27" s="21">
        <f>IF(B27=0,0,D27/B27)</f>
        <v/>
      </c>
      <c r="F27" s="22" t="n">
        <v>0.5</v>
      </c>
      <c r="G27" s="20" t="n">
        <v>1500</v>
      </c>
    </row>
    <row r="28">
      <c r="A28" s="19" t="inlineStr">
        <is>
          <t>eggTart</t>
        </is>
      </c>
      <c r="B28" s="20" t="n">
        <v>3000</v>
      </c>
      <c r="C28" s="20" t="n">
        <v>1000</v>
      </c>
      <c r="D28" s="20">
        <f>B28-C28</f>
        <v/>
      </c>
      <c r="E28" s="21">
        <f>IF(B28=0,0,D28/B28)</f>
        <v/>
      </c>
      <c r="F28" s="22" t="n">
        <v>0.5</v>
      </c>
      <c r="G28" s="20" t="n">
        <v>500</v>
      </c>
    </row>
    <row r="29">
      <c r="A29" s="23" t="inlineStr">
        <is>
          <t>평균</t>
        </is>
      </c>
      <c r="D29" s="24">
        <f>AVERAGE(D4:D28)</f>
        <v/>
      </c>
      <c r="E29" s="25">
        <f>AVERAGE(E4:E28)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9" customWidth="1" min="7" max="7"/>
    <col width="10" customWidth="1" min="8" max="8"/>
  </cols>
  <sheetData>
    <row r="1">
      <c r="A1" s="1" t="inlineStr">
        <is>
          <t>손님 (결제력)</t>
        </is>
      </c>
    </row>
    <row r="3">
      <c r="A3" s="18" t="inlineStr">
        <is>
          <t>손님</t>
        </is>
      </c>
      <c r="B3" s="18" t="inlineStr">
        <is>
          <t>지갑(₩)</t>
        </is>
      </c>
      <c r="C3" s="18" t="inlineStr">
        <is>
          <t>시작만족</t>
        </is>
      </c>
      <c r="D3" s="18" t="inlineStr">
        <is>
          <t>인내심(초)</t>
        </is>
      </c>
      <c r="E3" s="18" t="inlineStr">
        <is>
          <t>식사+/초</t>
        </is>
      </c>
      <c r="F3" s="18" t="inlineStr">
        <is>
          <t>대기-/초</t>
        </is>
      </c>
      <c r="G3" s="18" t="inlineStr">
        <is>
          <t>weight</t>
        </is>
      </c>
      <c r="H3" s="18" t="inlineStr">
        <is>
          <t>시작해금</t>
        </is>
      </c>
    </row>
    <row r="4">
      <c r="A4" s="19" t="inlineStr">
        <is>
          <t>Blonde</t>
        </is>
      </c>
      <c r="B4" s="20" t="n">
        <v>17000</v>
      </c>
      <c r="C4" s="22" t="n">
        <v>50</v>
      </c>
      <c r="D4" s="22" t="n">
        <v>30</v>
      </c>
      <c r="E4" s="22" t="n">
        <v>5</v>
      </c>
      <c r="F4" s="22" t="n">
        <v>3</v>
      </c>
      <c r="G4" s="22" t="n">
        <v>1</v>
      </c>
      <c r="H4" s="22" t="inlineStr">
        <is>
          <t>X</t>
        </is>
      </c>
    </row>
    <row r="5">
      <c r="A5" s="19" t="inlineStr">
        <is>
          <t>Boy</t>
        </is>
      </c>
      <c r="B5" s="20" t="n">
        <v>7000</v>
      </c>
      <c r="C5" s="22" t="n">
        <v>80</v>
      </c>
      <c r="D5" s="22" t="n">
        <v>15</v>
      </c>
      <c r="E5" s="22" t="n">
        <v>5</v>
      </c>
      <c r="F5" s="22" t="n">
        <v>3</v>
      </c>
      <c r="G5" s="22" t="n">
        <v>1</v>
      </c>
      <c r="H5" s="22" t="inlineStr">
        <is>
          <t>X</t>
        </is>
      </c>
    </row>
    <row r="6">
      <c r="A6" s="19" t="inlineStr">
        <is>
          <t>College</t>
        </is>
      </c>
      <c r="B6" s="20" t="n">
        <v>11000</v>
      </c>
      <c r="C6" s="22" t="n">
        <v>50</v>
      </c>
      <c r="D6" s="22" t="n">
        <v>20</v>
      </c>
      <c r="E6" s="22" t="n">
        <v>5</v>
      </c>
      <c r="F6" s="22" t="n">
        <v>3</v>
      </c>
      <c r="G6" s="22" t="n">
        <v>1</v>
      </c>
      <c r="H6" s="22" t="inlineStr">
        <is>
          <t>O</t>
        </is>
      </c>
    </row>
    <row r="7">
      <c r="A7" s="19" t="inlineStr">
        <is>
          <t>DTCustomerData</t>
        </is>
      </c>
      <c r="B7" s="22" t="inlineStr">
        <is>
          <t>(DT/배달)</t>
        </is>
      </c>
      <c r="C7" s="22" t="n">
        <v>50</v>
      </c>
      <c r="D7" s="22" t="n">
        <v>30</v>
      </c>
      <c r="E7" s="22" t="n"/>
      <c r="F7" s="22" t="n">
        <v>3</v>
      </c>
      <c r="G7" s="22" t="n">
        <v>1</v>
      </c>
      <c r="H7" s="22" t="inlineStr">
        <is>
          <t>X</t>
        </is>
      </c>
    </row>
    <row r="8">
      <c r="A8" s="19" t="inlineStr">
        <is>
          <t>LittleGirl</t>
        </is>
      </c>
      <c r="B8" s="20" t="n">
        <v>7000</v>
      </c>
      <c r="C8" s="22" t="n">
        <v>80</v>
      </c>
      <c r="D8" s="22" t="n">
        <v>17</v>
      </c>
      <c r="E8" s="22" t="n">
        <v>5</v>
      </c>
      <c r="F8" s="22" t="n">
        <v>3</v>
      </c>
      <c r="G8" s="22" t="n">
        <v>1</v>
      </c>
      <c r="H8" s="22" t="inlineStr">
        <is>
          <t>X</t>
        </is>
      </c>
    </row>
    <row r="9">
      <c r="A9" s="19" t="inlineStr">
        <is>
          <t>OfficeWorker</t>
        </is>
      </c>
      <c r="B9" s="20" t="n">
        <v>20000</v>
      </c>
      <c r="C9" s="22" t="n">
        <v>40</v>
      </c>
      <c r="D9" s="22" t="n">
        <v>25</v>
      </c>
      <c r="E9" s="22" t="n">
        <v>5</v>
      </c>
      <c r="F9" s="22" t="n">
        <v>3</v>
      </c>
      <c r="G9" s="22" t="n">
        <v>1</v>
      </c>
      <c r="H9" s="22" t="inlineStr">
        <is>
          <t>X</t>
        </is>
      </c>
    </row>
    <row r="10">
      <c r="A10" s="19" t="inlineStr">
        <is>
          <t>Police</t>
        </is>
      </c>
      <c r="B10" s="20" t="n">
        <v>15000</v>
      </c>
      <c r="C10" s="22" t="n">
        <v>55</v>
      </c>
      <c r="D10" s="22" t="n">
        <v>35</v>
      </c>
      <c r="E10" s="22" t="n">
        <v>5</v>
      </c>
      <c r="F10" s="22" t="n">
        <v>3</v>
      </c>
      <c r="G10" s="22" t="n">
        <v>1</v>
      </c>
      <c r="H10" s="22" t="inlineStr">
        <is>
          <t>X</t>
        </is>
      </c>
    </row>
    <row r="11">
      <c r="A11" s="19" t="inlineStr">
        <is>
          <t>Rapper</t>
        </is>
      </c>
      <c r="B11" s="20" t="n">
        <v>23000</v>
      </c>
      <c r="C11" s="22" t="n">
        <v>60</v>
      </c>
      <c r="D11" s="22" t="n">
        <v>35</v>
      </c>
      <c r="E11" s="22" t="n">
        <v>5</v>
      </c>
      <c r="F11" s="22" t="n">
        <v>3</v>
      </c>
      <c r="G11" s="22" t="n">
        <v>1</v>
      </c>
      <c r="H11" s="22" t="inlineStr">
        <is>
          <t>X</t>
        </is>
      </c>
    </row>
    <row r="12">
      <c r="A12" s="23" t="inlineStr">
        <is>
          <t>평균 지갑(매장)</t>
        </is>
      </c>
      <c r="B12" s="24">
        <f>AVERAGE(B4,B5,B6,B8,B9,B10,B11)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0" customWidth="1" min="4" max="4"/>
    <col width="10" customWidth="1" min="5" max="5"/>
    <col width="8" customWidth="1" min="6" max="6"/>
    <col width="10" customWidth="1" min="7" max="7"/>
  </cols>
  <sheetData>
    <row r="1">
      <c r="A1" s="1" t="inlineStr">
        <is>
          <t>직원</t>
        </is>
      </c>
    </row>
    <row r="3">
      <c r="A3" s="18" t="inlineStr">
        <is>
          <t>직원</t>
        </is>
      </c>
      <c r="B3" s="18" t="inlineStr">
        <is>
          <t>고용비(₩)</t>
        </is>
      </c>
      <c r="C3" s="18" t="inlineStr">
        <is>
          <t>월급(₩)</t>
        </is>
      </c>
      <c r="D3" s="18" t="inlineStr">
        <is>
          <t>이동속도</t>
        </is>
      </c>
      <c r="E3" s="18" t="inlineStr">
        <is>
          <t>속도배수</t>
        </is>
      </c>
      <c r="F3" s="18" t="inlineStr">
        <is>
          <t>친절</t>
        </is>
      </c>
      <c r="G3" s="18" t="inlineStr">
        <is>
          <t>배달시간</t>
        </is>
      </c>
    </row>
    <row r="4">
      <c r="A4" s="19" t="inlineStr">
        <is>
          <t>Cook_Junior</t>
        </is>
      </c>
      <c r="B4" s="20" t="n">
        <v>3000</v>
      </c>
      <c r="C4" s="20" t="n">
        <v>1000</v>
      </c>
      <c r="D4" s="22" t="n">
        <v>5</v>
      </c>
      <c r="E4" s="22" t="n">
        <v>10</v>
      </c>
      <c r="F4" s="22" t="n">
        <v>2</v>
      </c>
      <c r="G4" s="22" t="n">
        <v>0</v>
      </c>
    </row>
    <row r="5">
      <c r="A5" s="19" t="inlineStr">
        <is>
          <t>Cook_Senior</t>
        </is>
      </c>
      <c r="B5" s="20" t="n">
        <v>8000</v>
      </c>
      <c r="C5" s="20" t="n">
        <v>2500</v>
      </c>
      <c r="D5" s="22" t="n">
        <v>1.5</v>
      </c>
      <c r="E5" s="22" t="n">
        <v>1.3</v>
      </c>
      <c r="F5" s="22" t="n">
        <v>4</v>
      </c>
      <c r="G5" s="22" t="n">
        <v>0</v>
      </c>
    </row>
    <row r="6">
      <c r="A6" s="19" t="inlineStr">
        <is>
          <t>Cook_Manager</t>
        </is>
      </c>
      <c r="B6" s="20" t="n">
        <v>20000</v>
      </c>
      <c r="C6" s="20" t="n">
        <v>5000</v>
      </c>
      <c r="D6" s="22" t="n">
        <v>2</v>
      </c>
      <c r="E6" s="22" t="n">
        <v>1.6</v>
      </c>
      <c r="F6" s="22" t="n">
        <v>6</v>
      </c>
      <c r="G6" s="22" t="n">
        <v>0</v>
      </c>
    </row>
    <row r="7">
      <c r="A7" s="19" t="inlineStr">
        <is>
          <t>Server_Junior</t>
        </is>
      </c>
      <c r="B7" s="20" t="n">
        <v>2500</v>
      </c>
      <c r="C7" s="20" t="n">
        <v>900</v>
      </c>
      <c r="D7" s="22" t="n">
        <v>8</v>
      </c>
      <c r="E7" s="22" t="n">
        <v>1</v>
      </c>
      <c r="F7" s="22" t="n">
        <v>3</v>
      </c>
      <c r="G7" s="22" t="n">
        <v>0</v>
      </c>
    </row>
    <row r="8">
      <c r="A8" s="19" t="inlineStr">
        <is>
          <t>Server_Senior</t>
        </is>
      </c>
      <c r="B8" s="20" t="n">
        <v>7000</v>
      </c>
      <c r="C8" s="20" t="n">
        <v>2200</v>
      </c>
      <c r="D8" s="22" t="n">
        <v>2.2</v>
      </c>
      <c r="E8" s="22" t="n">
        <v>1.3</v>
      </c>
      <c r="F8" s="22" t="n">
        <v>5</v>
      </c>
      <c r="G8" s="22" t="n">
        <v>0</v>
      </c>
    </row>
    <row r="9">
      <c r="A9" s="19" t="inlineStr">
        <is>
          <t>Server_Manager</t>
        </is>
      </c>
      <c r="B9" s="20" t="n">
        <v>18000</v>
      </c>
      <c r="C9" s="20" t="n">
        <v>4500</v>
      </c>
      <c r="D9" s="22" t="n">
        <v>3.3</v>
      </c>
      <c r="E9" s="22" t="n">
        <v>1.6</v>
      </c>
      <c r="F9" s="22" t="n">
        <v>8</v>
      </c>
      <c r="G9" s="22" t="n">
        <v>0</v>
      </c>
    </row>
    <row r="10">
      <c r="A10" s="19" t="inlineStr">
        <is>
          <t>Rider_Junior</t>
        </is>
      </c>
      <c r="B10" s="20" t="n">
        <v>2000</v>
      </c>
      <c r="C10" s="20" t="n">
        <v>800</v>
      </c>
      <c r="D10" s="22" t="n">
        <v>1</v>
      </c>
      <c r="E10" s="22" t="n">
        <v>1</v>
      </c>
      <c r="F10" s="22" t="n">
        <v>1</v>
      </c>
      <c r="G10" s="22" t="n">
        <v>20</v>
      </c>
    </row>
    <row r="11">
      <c r="A11" s="19" t="inlineStr">
        <is>
          <t>Rider_Senior</t>
        </is>
      </c>
      <c r="B11" s="20" t="n">
        <v>6000</v>
      </c>
      <c r="C11" s="20" t="n">
        <v>2000</v>
      </c>
      <c r="D11" s="22" t="n">
        <v>2</v>
      </c>
      <c r="E11" s="22" t="n">
        <v>1.3</v>
      </c>
      <c r="F11" s="22" t="n">
        <v>2</v>
      </c>
      <c r="G11" s="22" t="n">
        <v>0</v>
      </c>
    </row>
    <row r="12">
      <c r="A12" s="19" t="inlineStr">
        <is>
          <t>Rider_Manager</t>
        </is>
      </c>
      <c r="B12" s="20" t="n">
        <v>15000</v>
      </c>
      <c r="C12" s="20" t="n">
        <v>4000</v>
      </c>
      <c r="D12" s="22" t="n">
        <v>3</v>
      </c>
      <c r="E12" s="22" t="n">
        <v>1.6</v>
      </c>
      <c r="F12" s="22" t="n">
        <v>3</v>
      </c>
      <c r="G12" s="2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</cols>
  <sheetData>
    <row r="1">
      <c r="A1" s="1" t="inlineStr">
        <is>
          <t>가구 / 조리도구</t>
        </is>
      </c>
    </row>
    <row r="3">
      <c r="A3" s="18" t="inlineStr">
        <is>
          <t>항목</t>
        </is>
      </c>
      <c r="B3" s="18" t="inlineStr">
        <is>
          <t>설치비(₩)</t>
        </is>
      </c>
      <c r="C3" s="18" t="inlineStr">
        <is>
          <t>해금비(만족도)</t>
        </is>
      </c>
      <c r="D3" s="18" t="inlineStr">
        <is>
          <t>사용시간(초)</t>
        </is>
      </c>
    </row>
    <row r="4">
      <c r="A4" s="19" t="inlineStr">
        <is>
          <t>Counter</t>
        </is>
      </c>
      <c r="B4" s="20" t="n">
        <v>50000</v>
      </c>
      <c r="C4" s="20" t="n">
        <v>0</v>
      </c>
      <c r="D4" s="22" t="inlineStr">
        <is>
          <t>-</t>
        </is>
      </c>
    </row>
    <row r="5">
      <c r="A5" s="19" t="inlineStr">
        <is>
          <t>PassWindow</t>
        </is>
      </c>
      <c r="B5" s="20" t="n">
        <v>35000</v>
      </c>
      <c r="C5" s="20" t="n">
        <v>0</v>
      </c>
      <c r="D5" s="22" t="inlineStr">
        <is>
          <t>-</t>
        </is>
      </c>
    </row>
    <row r="6">
      <c r="A6" s="19" t="inlineStr">
        <is>
          <t>Phone</t>
        </is>
      </c>
      <c r="B6" s="20" t="n">
        <v>70000</v>
      </c>
      <c r="C6" s="20" t="n">
        <v>1500</v>
      </c>
      <c r="D6" s="22" t="inlineStr">
        <is>
          <t>-</t>
        </is>
      </c>
    </row>
    <row r="7">
      <c r="A7" s="19" t="inlineStr">
        <is>
          <t>Seat_1p</t>
        </is>
      </c>
      <c r="B7" s="20" t="n">
        <v>15000</v>
      </c>
      <c r="C7" s="20" t="n">
        <v>0</v>
      </c>
      <c r="D7" s="22" t="inlineStr">
        <is>
          <t>-</t>
        </is>
      </c>
    </row>
    <row r="8">
      <c r="A8" s="19" t="inlineStr">
        <is>
          <t>BreadRack</t>
        </is>
      </c>
      <c r="B8" s="20" t="n">
        <v>30000</v>
      </c>
      <c r="C8" s="20" t="n">
        <v>1000</v>
      </c>
      <c r="D8" s="22" t="n">
        <v>2</v>
      </c>
    </row>
    <row r="9">
      <c r="A9" s="19" t="inlineStr">
        <is>
          <t>FishCuttingTable</t>
        </is>
      </c>
      <c r="B9" s="20" t="n">
        <v>30000</v>
      </c>
      <c r="C9" s="20" t="n">
        <v>1000</v>
      </c>
      <c r="D9" s="22" t="n">
        <v>4</v>
      </c>
    </row>
    <row r="10">
      <c r="A10" s="19" t="inlineStr">
        <is>
          <t>Fryer</t>
        </is>
      </c>
      <c r="B10" s="20" t="n">
        <v>30000</v>
      </c>
      <c r="C10" s="20" t="n">
        <v>1000</v>
      </c>
      <c r="D10" s="22" t="n">
        <v>2</v>
      </c>
    </row>
    <row r="11">
      <c r="A11" s="19" t="inlineStr">
        <is>
          <t>Grill</t>
        </is>
      </c>
      <c r="B11" s="20" t="n">
        <v>30000</v>
      </c>
      <c r="C11" s="20" t="n">
        <v>50</v>
      </c>
      <c r="D11" s="22" t="n">
        <v>2</v>
      </c>
    </row>
    <row r="12">
      <c r="A12" s="19" t="inlineStr">
        <is>
          <t>IceCreamMachine</t>
        </is>
      </c>
      <c r="B12" s="20" t="n">
        <v>30000</v>
      </c>
      <c r="C12" s="20" t="n">
        <v>1000</v>
      </c>
      <c r="D12" s="22" t="n">
        <v>2</v>
      </c>
    </row>
    <row r="13">
      <c r="A13" s="19" t="inlineStr">
        <is>
          <t>Microwave</t>
        </is>
      </c>
      <c r="B13" s="20" t="n">
        <v>0</v>
      </c>
      <c r="C13" s="20" t="n">
        <v>1000</v>
      </c>
      <c r="D13" s="22" t="n">
        <v>0</v>
      </c>
    </row>
    <row r="14">
      <c r="A14" s="19" t="inlineStr">
        <is>
          <t>Sink</t>
        </is>
      </c>
      <c r="B14" s="20" t="n">
        <v>30000</v>
      </c>
      <c r="C14" s="20" t="n">
        <v>0</v>
      </c>
      <c r="D14" s="22" t="inlineStr">
        <is>
          <t>-</t>
        </is>
      </c>
    </row>
    <row r="15">
      <c r="A15" s="19" t="inlineStr">
        <is>
          <t>Toilet_1</t>
        </is>
      </c>
      <c r="B15" s="20" t="n">
        <v>30000</v>
      </c>
      <c r="C15" s="20" t="n">
        <v>0</v>
      </c>
      <c r="D15" s="22" t="inlineStr">
        <is>
          <t>-</t>
        </is>
      </c>
    </row>
    <row r="16">
      <c r="A16" s="19" t="inlineStr">
        <is>
          <t>Toilet_2</t>
        </is>
      </c>
      <c r="B16" s="20" t="n">
        <v>30000</v>
      </c>
      <c r="C16" s="20" t="n">
        <v>0</v>
      </c>
      <c r="D16" s="22" t="inlineStr">
        <is>
          <t>-</t>
        </is>
      </c>
    </row>
    <row r="17">
      <c r="A17" s="19" t="inlineStr">
        <is>
          <t>Toilet_3</t>
        </is>
      </c>
      <c r="B17" s="20" t="n">
        <v>30000</v>
      </c>
      <c r="C17" s="20" t="n">
        <v>0</v>
      </c>
      <c r="D17" s="22" t="inlineStr">
        <is>
          <t>-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0" customWidth="1" min="4" max="4"/>
  </cols>
  <sheetData>
    <row r="1">
      <c r="A1" s="1" t="inlineStr">
        <is>
          <t>맵확장 / 마케팅</t>
        </is>
      </c>
    </row>
    <row r="3">
      <c r="A3" s="18" t="inlineStr">
        <is>
          <t>확장</t>
        </is>
      </c>
      <c r="B3" s="18" t="inlineStr">
        <is>
          <t>비용(₩)</t>
        </is>
      </c>
    </row>
    <row r="4">
      <c r="A4" s="19" t="inlineStr">
        <is>
          <t>DT</t>
        </is>
      </c>
      <c r="B4" s="20" t="n">
        <v>150000</v>
      </c>
    </row>
    <row r="5">
      <c r="A5" s="19" t="inlineStr">
        <is>
          <t>2층 홀</t>
        </is>
      </c>
      <c r="B5" s="20" t="n">
        <v>200000</v>
      </c>
    </row>
    <row r="6">
      <c r="A6" s="19" t="inlineStr">
        <is>
          <t>화장실</t>
        </is>
      </c>
      <c r="B6" s="20" t="n">
        <v>250000</v>
      </c>
    </row>
    <row r="8">
      <c r="A8" s="26" t="inlineStr">
        <is>
          <t>마케팅</t>
        </is>
      </c>
      <c r="B8" s="26" t="inlineStr">
        <is>
          <t>boost</t>
        </is>
      </c>
      <c r="C8" s="26" t="inlineStr">
        <is>
          <t>만족도비</t>
        </is>
      </c>
      <c r="D8" s="26" t="inlineStr">
        <is>
          <t>기간(달)</t>
        </is>
      </c>
    </row>
    <row r="9">
      <c r="A9" s="19" t="inlineStr">
        <is>
          <t>전단지</t>
        </is>
      </c>
      <c r="B9" s="22" t="n">
        <v>0.2</v>
      </c>
      <c r="C9" s="20" t="n">
        <v>200</v>
      </c>
      <c r="D9" s="22" t="n">
        <v>2</v>
      </c>
    </row>
    <row r="10">
      <c r="A10" s="19" t="inlineStr">
        <is>
          <t>SNS</t>
        </is>
      </c>
      <c r="B10" s="22" t="n">
        <v>0.6</v>
      </c>
      <c r="C10" s="20" t="n">
        <v>500</v>
      </c>
      <c r="D10" s="22" t="n">
        <v>3</v>
      </c>
    </row>
    <row r="11">
      <c r="A11" s="19" t="inlineStr">
        <is>
          <t>TV</t>
        </is>
      </c>
      <c r="B11" s="22" t="n">
        <v>1</v>
      </c>
      <c r="C11" s="20" t="n">
        <v>800</v>
      </c>
      <c r="D11" s="2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2026-06-02T02:53:32Z</dcterms:created>
  <dcterms:modified xsi:type="dcterms:W3CDTF">2026-06-02T02:53:32Z</dcterms:modified>
</cp:coreProperties>
</file>